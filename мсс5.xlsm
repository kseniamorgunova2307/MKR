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ЭтаКнига"/>
  <bookViews>
    <workbookView xWindow="-108" yWindow="-108" windowWidth="23256" windowHeight="12600" activeTab="1"/>
  </bookViews>
  <sheets>
    <sheet name="лист1" sheetId="1" r:id="rId1"/>
    <sheet name="лист2" sheetId="2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Q16" i="2" s="1"/>
  <c r="Q17" i="2" s="1"/>
  <c r="P12" i="2"/>
  <c r="O12" i="2"/>
  <c r="N12" i="2"/>
  <c r="N16" i="2" s="1"/>
  <c r="N17" i="2" s="1"/>
  <c r="M12" i="2"/>
  <c r="M16" i="2" s="1"/>
  <c r="M17" i="2" s="1"/>
  <c r="L12" i="2"/>
  <c r="K12" i="2"/>
  <c r="J12" i="2"/>
  <c r="J16" i="2" s="1"/>
  <c r="J17" i="2" s="1"/>
  <c r="I12" i="2"/>
  <c r="I16" i="2" s="1"/>
  <c r="I17" i="2" s="1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I3" i="2"/>
  <c r="I4" i="2" s="1"/>
  <c r="H3" i="2"/>
  <c r="H4" i="2" s="1"/>
  <c r="G12" i="1"/>
  <c r="G16" i="1" s="1"/>
  <c r="G17" i="1" s="1"/>
  <c r="H3" i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H4" i="1"/>
  <c r="I4" i="1"/>
  <c r="J4" i="1"/>
  <c r="K4" i="1"/>
  <c r="L4" i="1"/>
  <c r="M4" i="1"/>
  <c r="N4" i="1"/>
  <c r="O4" i="1"/>
  <c r="P4" i="1"/>
  <c r="Q4" i="1"/>
  <c r="G4" i="1"/>
  <c r="I3" i="1"/>
  <c r="J3" i="1" s="1"/>
  <c r="K3" i="1" s="1"/>
  <c r="L3" i="1" s="1"/>
  <c r="M3" i="1" s="1"/>
  <c r="N3" i="1" s="1"/>
  <c r="O3" i="1" s="1"/>
  <c r="P3" i="1" s="1"/>
  <c r="I2" i="1"/>
  <c r="J2" i="1"/>
  <c r="K2" i="1"/>
  <c r="L2" i="1"/>
  <c r="M2" i="1" s="1"/>
  <c r="N2" i="1" s="1"/>
  <c r="O2" i="1" s="1"/>
  <c r="P2" i="1" s="1"/>
  <c r="Q2" i="1" s="1"/>
  <c r="H2" i="1"/>
  <c r="C4" i="1"/>
  <c r="I22" i="1" l="1"/>
  <c r="I23" i="1" s="1"/>
  <c r="I20" i="1"/>
  <c r="Q14" i="2"/>
  <c r="K16" i="2"/>
  <c r="K17" i="2" s="1"/>
  <c r="K18" i="2" s="1"/>
  <c r="Q9" i="2"/>
  <c r="I9" i="2"/>
  <c r="G12" i="2"/>
  <c r="H9" i="2"/>
  <c r="O16" i="2"/>
  <c r="O17" i="2" s="1"/>
  <c r="O18" i="2" s="1"/>
  <c r="I18" i="2"/>
  <c r="Q18" i="2"/>
  <c r="H16" i="2"/>
  <c r="H17" i="2" s="1"/>
  <c r="H18" i="2" s="1"/>
  <c r="L16" i="2"/>
  <c r="L17" i="2" s="1"/>
  <c r="L18" i="2" s="1"/>
  <c r="P16" i="2"/>
  <c r="P17" i="2" s="1"/>
  <c r="P18" i="2" s="1"/>
  <c r="J18" i="2"/>
  <c r="N18" i="2"/>
  <c r="M18" i="2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G20" i="1" l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<sst xmlns="http://schemas.openxmlformats.org/spreadsheetml/2006/main" count="55" uniqueCount="25">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</sst>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0.00000"/>
  </numFmts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лист1!$G$2:$Q$2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лист1!$G$3:$Q$3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198464"/>
        <c:axId val="139199040"/>
      </c:scatterChart>
      <c:valAx>
        <c:axId val="13919846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199040"/>
        <c:crosses val="autoZero"/>
        <c:crossBetween val="midCat"/>
        <c:majorUnit val="1.0000000000000002E-2"/>
      </c:valAx>
      <c:valAx>
        <c:axId val="13919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R,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3.1541218637992835E-2"/>
              <c:y val="0.362758504196876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19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лист1!$G$2:$Q$2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лист1!$G$9:$Q$9</c:f>
              <c:numCache>
                <c:formatCode>0.000</c:formatCode>
                <c:ptCount val="11"/>
                <c:pt idx="0">
                  <c:v>1.3682761751670505</c:v>
                </c:pt>
                <c:pt idx="1">
                  <c:v>1.3682761751782562</c:v>
                </c:pt>
                <c:pt idx="2">
                  <c:v>1.3682761757962516</c:v>
                </c:pt>
                <c:pt idx="3">
                  <c:v>1.3682761763089715</c:v>
                </c:pt>
                <c:pt idx="4">
                  <c:v>1.3682761767065679</c:v>
                </c:pt>
                <c:pt idx="5">
                  <c:v>1.3682761769858383</c:v>
                </c:pt>
                <c:pt idx="6">
                  <c:v>1.3682761771526217</c:v>
                </c:pt>
                <c:pt idx="7">
                  <c:v>1.3682761772237118</c:v>
                </c:pt>
                <c:pt idx="8">
                  <c:v>1.3682761772270753</c:v>
                </c:pt>
                <c:pt idx="9">
                  <c:v>1.3682761771987055</c:v>
                </c:pt>
                <c:pt idx="10">
                  <c:v>1.3682761771740886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00768"/>
        <c:axId val="139201344"/>
      </c:scatterChart>
      <c:valAx>
        <c:axId val="1392007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baseline="0">
                    <a:solidFill>
                      <a:schemeClr val="tx1"/>
                    </a:solidFill>
                    <a:effectLst/>
                    <a:latin typeface="Arial Black" pitchFamily="34" charset="0"/>
                  </a:rPr>
                  <a:t>x, </a:t>
                </a:r>
                <a:r>
                  <a:rPr lang="ru-RU" sz="1400" b="1" i="0" baseline="0">
                    <a:solidFill>
                      <a:schemeClr val="tx1"/>
                    </a:solidFill>
                    <a:effectLst/>
                    <a:latin typeface="Arial Black" pitchFamily="34" charset="0"/>
                  </a:rPr>
                  <a:t>м</a:t>
                </a:r>
                <a:endParaRPr lang="ru-RU" sz="1400" b="1">
                  <a:solidFill>
                    <a:schemeClr val="tx1"/>
                  </a:solidFill>
                  <a:effectLst/>
                  <a:latin typeface="Arial Black" pitchFamily="34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201344"/>
        <c:crosses val="autoZero"/>
        <c:crossBetween val="midCat"/>
        <c:majorUnit val="1.0000000000000002E-2"/>
      </c:valAx>
      <c:valAx>
        <c:axId val="13920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G,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кг</a:t>
                </a: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/c</a:t>
                </a:r>
                <a:endParaRPr lang="ru-RU" sz="1400">
                  <a:solidFill>
                    <a:schemeClr val="tx1"/>
                  </a:solidFill>
                  <a:latin typeface="Arial Black" pitchFamily="34" charset="0"/>
                </a:endParaRPr>
              </a:p>
            </c:rich>
          </c:tx>
          <c:layout>
            <c:manualLayout>
              <c:xMode val="edge"/>
              <c:yMode val="edge"/>
              <c:x val="2.007168458781362E-2"/>
              <c:y val="0.331628076193446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20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лист1!$G$2:$Q$2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лист1!$G$6:$Q$6</c:f>
              <c:numCache>
                <c:formatCode>0</c:formatCode>
                <c:ptCount val="11"/>
                <c:pt idx="0">
                  <c:v>133045.93281977452</c:v>
                </c:pt>
                <c:pt idx="1">
                  <c:v>132578.1118543206</c:v>
                </c:pt>
                <c:pt idx="2">
                  <c:v>131967.60018031701</c:v>
                </c:pt>
                <c:pt idx="3">
                  <c:v>131158.84547646268</c:v>
                </c:pt>
                <c:pt idx="4">
                  <c:v>130069.34948336399</c:v>
                </c:pt>
                <c:pt idx="5">
                  <c:v>128573.64373420661</c:v>
                </c:pt>
                <c:pt idx="6">
                  <c:v>126475.70497018557</c:v>
                </c:pt>
                <c:pt idx="7">
                  <c:v>123459.75763265575</c:v>
                </c:pt>
                <c:pt idx="8">
                  <c:v>118998.90588541509</c:v>
                </c:pt>
                <c:pt idx="9">
                  <c:v>112177.34007334249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лист1!$S$26:$W$26</c:f>
              <c:numCache>
                <c:formatCode>General</c:formatCode>
                <c:ptCount val="5"/>
              </c:numCache>
            </c:numRef>
          </c:xVal>
          <c:yVal>
            <c:numRef>
              <c:f>лист1!$S$28:$W$28</c:f>
              <c:numCache>
                <c:formatCode>General</c:formatCode>
                <c:ptCount val="5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03072"/>
        <c:axId val="139203648"/>
      </c:scatterChart>
      <c:valAx>
        <c:axId val="1392030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203648"/>
        <c:crosses val="autoZero"/>
        <c:crossBetween val="midCat"/>
        <c:majorUnit val="1.0000000000000002E-2"/>
      </c:valAx>
      <c:valAx>
        <c:axId val="139203648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P,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Па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203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лист1!$G$2:$Q$2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лист1!$G$5:$Q$5</c:f>
              <c:numCache>
                <c:formatCode>0</c:formatCode>
                <c:ptCount val="11"/>
                <c:pt idx="0">
                  <c:v>57.428248098870547</c:v>
                </c:pt>
                <c:pt idx="1">
                  <c:v>63.632407866307894</c:v>
                </c:pt>
                <c:pt idx="2">
                  <c:v>70.899071759742355</c:v>
                </c:pt>
                <c:pt idx="3">
                  <c:v>79.485464563337672</c:v>
                </c:pt>
                <c:pt idx="4">
                  <c:v>89.731637755915571</c:v>
                </c:pt>
                <c:pt idx="5">
                  <c:v>102.09466342324735</c:v>
                </c:pt>
                <c:pt idx="6">
                  <c:v>117.2005064951568</c:v>
                </c:pt>
                <c:pt idx="7">
                  <c:v>135.9248477766655</c:v>
                </c:pt>
                <c:pt idx="8">
                  <c:v>159.52291162721167</c:v>
                </c:pt>
                <c:pt idx="9">
                  <c:v>189.84544854415856</c:v>
                </c:pt>
                <c:pt idx="10">
                  <c:v>229.71299273429096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лист1!$S$26:$W$26</c:f>
              <c:numCache>
                <c:formatCode>General</c:formatCode>
                <c:ptCount val="5"/>
              </c:numCache>
            </c:numRef>
          </c:xVal>
          <c:yVal>
            <c:numRef>
              <c:f>лист1!$S$27:$W$27</c:f>
              <c:numCache>
                <c:formatCode>General</c:formatCode>
                <c:ptCount val="5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05376"/>
        <c:axId val="139205952"/>
      </c:scatterChart>
      <c:valAx>
        <c:axId val="1392053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205952"/>
        <c:crosses val="autoZero"/>
        <c:crossBetween val="midCat"/>
        <c:majorUnit val="1.0000000000000002E-2"/>
      </c:valAx>
      <c:valAx>
        <c:axId val="139205952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U,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/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205376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лист1!$G$2:$Q$2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лист1!$G$3:$Q$3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9440"/>
        <c:axId val="139790016"/>
      </c:scatterChart>
      <c:valAx>
        <c:axId val="13978944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790016"/>
        <c:crosses val="autoZero"/>
        <c:crossBetween val="midCat"/>
        <c:majorUnit val="1.0000000000000002E-2"/>
      </c:valAx>
      <c:valAx>
        <c:axId val="13979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R,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78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лист2!$G$2:$Q$2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лист2!$G$9:$Q$9</c:f>
              <c:numCache>
                <c:formatCode>0.000</c:formatCode>
                <c:ptCount val="11"/>
                <c:pt idx="0">
                  <c:v>1.3681995950873449</c:v>
                </c:pt>
                <c:pt idx="1">
                  <c:v>1.3681995874142157</c:v>
                </c:pt>
                <c:pt idx="2">
                  <c:v>1.3681991638393569</c:v>
                </c:pt>
                <c:pt idx="3">
                  <c:v>1.3681987147789589</c:v>
                </c:pt>
                <c:pt idx="4">
                  <c:v>1.3681982628750382</c:v>
                </c:pt>
                <c:pt idx="5">
                  <c:v>1.3681978333095759</c:v>
                </c:pt>
                <c:pt idx="6">
                  <c:v>1.3681974522888203</c:v>
                </c:pt>
                <c:pt idx="7">
                  <c:v>1.3681971442945591</c:v>
                </c:pt>
                <c:pt idx="8">
                  <c:v>1.3681969276853752</c:v>
                </c:pt>
                <c:pt idx="9">
                  <c:v>1.3681968083826694</c:v>
                </c:pt>
                <c:pt idx="10">
                  <c:v>1.3681967718113028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91744"/>
        <c:axId val="139792320"/>
      </c:scatterChart>
      <c:valAx>
        <c:axId val="1397917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792320"/>
        <c:crosses val="autoZero"/>
        <c:crossBetween val="midCat"/>
        <c:majorUnit val="1.0000000000000002E-2"/>
      </c:valAx>
      <c:valAx>
        <c:axId val="1397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G,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кг</a:t>
                </a: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/c</a:t>
                </a:r>
                <a:endParaRPr lang="ru-RU" sz="1400">
                  <a:solidFill>
                    <a:schemeClr val="tx1"/>
                  </a:solidFill>
                  <a:latin typeface="Arial Black" pitchFamily="34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79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лист2!$G$2:$Q$2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лист2!$G$6:$Q$6</c:f>
              <c:numCache>
                <c:formatCode>0</c:formatCode>
                <c:ptCount val="11"/>
                <c:pt idx="0">
                  <c:v>133570.95834157526</c:v>
                </c:pt>
                <c:pt idx="1">
                  <c:v>133222.14523165711</c:v>
                </c:pt>
                <c:pt idx="2">
                  <c:v>132763.84173802566</c:v>
                </c:pt>
                <c:pt idx="3">
                  <c:v>132151.17845559432</c:v>
                </c:pt>
                <c:pt idx="4">
                  <c:v>131315.51779670102</c:v>
                </c:pt>
                <c:pt idx="5">
                  <c:v>130148.07042395642</c:v>
                </c:pt>
                <c:pt idx="6">
                  <c:v>128468.46138144769</c:v>
                </c:pt>
                <c:pt idx="7">
                  <c:v>125958.94666705352</c:v>
                </c:pt>
                <c:pt idx="8">
                  <c:v>122007.75072771324</c:v>
                </c:pt>
                <c:pt idx="9">
                  <c:v>115244.93437766572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лист1!$S$26:$W$26</c:f>
              <c:numCache>
                <c:formatCode>General</c:formatCode>
                <c:ptCount val="5"/>
              </c:numCache>
            </c:numRef>
          </c:xVal>
          <c:yVal>
            <c:numRef>
              <c:f>лист1!$S$28:$W$28</c:f>
              <c:numCache>
                <c:formatCode>General</c:formatCode>
                <c:ptCount val="5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94048"/>
        <c:axId val="139794624"/>
      </c:scatterChart>
      <c:valAx>
        <c:axId val="13979404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794624"/>
        <c:crosses val="autoZero"/>
        <c:crossBetween val="midCat"/>
        <c:majorUnit val="1.0000000000000002E-2"/>
      </c:valAx>
      <c:valAx>
        <c:axId val="139794624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P,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Па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794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лист2!$G$2:$Q$2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лист2!$G$5:$Q$5</c:f>
              <c:numCache>
                <c:formatCode>0</c:formatCode>
                <c:ptCount val="11"/>
                <c:pt idx="0">
                  <c:v>42.000578438877</c:v>
                </c:pt>
                <c:pt idx="1">
                  <c:v>46.626736296426031</c:v>
                </c:pt>
                <c:pt idx="2">
                  <c:v>52.082037755027933</c:v>
                </c:pt>
                <c:pt idx="3">
                  <c:v>58.586934523649369</c:v>
                </c:pt>
                <c:pt idx="4">
                  <c:v>66.446359472500816</c:v>
                </c:pt>
                <c:pt idx="5">
                  <c:v>76.096659328838456</c:v>
                </c:pt>
                <c:pt idx="6">
                  <c:v>88.191088271710029</c:v>
                </c:pt>
                <c:pt idx="7">
                  <c:v>103.77217105353201</c:v>
                </c:pt>
                <c:pt idx="8">
                  <c:v>124.67534850155737</c:v>
                </c:pt>
                <c:pt idx="9">
                  <c:v>154.73848218063253</c:v>
                </c:pt>
                <c:pt idx="10">
                  <c:v>205.87821823922673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лист1!$S$26:$W$26</c:f>
              <c:numCache>
                <c:formatCode>General</c:formatCode>
                <c:ptCount val="5"/>
              </c:numCache>
            </c:numRef>
          </c:xVal>
          <c:yVal>
            <c:numRef>
              <c:f>лист1!$S$27:$W$27</c:f>
              <c:numCache>
                <c:formatCode>General</c:formatCode>
                <c:ptCount val="5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13120"/>
        <c:axId val="193413696"/>
      </c:scatterChart>
      <c:valAx>
        <c:axId val="1934131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x,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3413696"/>
        <c:crosses val="autoZero"/>
        <c:crossBetween val="midCat"/>
        <c:majorUnit val="1.0000000000000002E-2"/>
      </c:valAx>
      <c:valAx>
        <c:axId val="193413696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U, 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м</a:t>
                </a:r>
                <a:r>
                  <a:rPr lang="en-US" sz="1400">
                    <a:solidFill>
                      <a:schemeClr val="tx1"/>
                    </a:solidFill>
                    <a:latin typeface="Arial Black" pitchFamily="34" charset="0"/>
                  </a:rPr>
                  <a:t>/</a:t>
                </a:r>
                <a:r>
                  <a:rPr lang="ru-RU" sz="1400">
                    <a:solidFill>
                      <a:schemeClr val="tx1"/>
                    </a:solidFill>
                    <a:latin typeface="Arial Black" pitchFamily="34" charset="0"/>
                  </a:rPr>
                  <a:t>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3413120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566057</xdr:colOff>
      <xdr:row>29</xdr:row>
      <xdr:rowOff>52523</xdr:rowOff>
    </xdr:from>
    <xdr:to>
      <xdr:col>7</xdr:col>
      <xdr:colOff>575582</xdr:colOff>
      <xdr:row>50</xdr:row>
      <xdr:rowOff>16600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2498B94E-1D05-4A89-9E13-14923A2EE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444137</xdr:colOff>
      <xdr:row>29</xdr:row>
      <xdr:rowOff>49531</xdr:rowOff>
    </xdr:from>
    <xdr:to>
      <xdr:col>24</xdr:col>
      <xdr:colOff>606062</xdr:colOff>
      <xdr:row>50</xdr:row>
      <xdr:rowOff>13608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67F10D4A-7825-4A18-B3FE-FB7CE6C22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45720</xdr:colOff>
      <xdr:row>29</xdr:row>
      <xdr:rowOff>30480</xdr:rowOff>
    </xdr:from>
    <xdr:to>
      <xdr:col>16</xdr:col>
      <xdr:colOff>207645</xdr:colOff>
      <xdr:row>49</xdr:row>
      <xdr:rowOff>173355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6E5CE590-1331-4CC1-8A3E-C13252E30A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54428</xdr:colOff>
      <xdr:row>28</xdr:row>
      <xdr:rowOff>165462</xdr:rowOff>
    </xdr:from>
    <xdr:to>
      <xdr:col>33</xdr:col>
      <xdr:colOff>216353</xdr:colOff>
      <xdr:row>49</xdr:row>
      <xdr:rowOff>123280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F83BFE5A-9005-43FD-B6F5-CF34C5683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9525</xdr:rowOff>
    </xdr:from>
    <xdr:to>
      <xdr:col>7</xdr:col>
      <xdr:colOff>9525</xdr:colOff>
      <xdr:row>42</xdr:row>
      <xdr:rowOff>57150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10B75AFE-9A71-4B6D-9695-E7F320FFD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342900</xdr:colOff>
      <xdr:row>23</xdr:row>
      <xdr:rowOff>9525</xdr:rowOff>
    </xdr:from>
    <xdr:to>
      <xdr:col>26</xdr:col>
      <xdr:colOff>504825</xdr:colOff>
      <xdr:row>44</xdr:row>
      <xdr:rowOff>57150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EADEB4C7-A262-40F5-8781-12F3118B12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19050</xdr:colOff>
      <xdr:row>0</xdr:row>
      <xdr:rowOff>28575</xdr:rowOff>
    </xdr:from>
    <xdr:to>
      <xdr:col>25</xdr:col>
      <xdr:colOff>180975</xdr:colOff>
      <xdr:row>21</xdr:row>
      <xdr:rowOff>72118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667DC6BE-15A5-48AB-9E92-39DF70C53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9525</xdr:colOff>
      <xdr:row>21</xdr:row>
      <xdr:rowOff>19050</xdr:rowOff>
    </xdr:from>
    <xdr:to>
      <xdr:col>16</xdr:col>
      <xdr:colOff>171450</xdr:colOff>
      <xdr:row>42</xdr:row>
      <xdr:rowOff>62593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FAA57C91-944E-4408-86D4-FA6314D41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W29"/>
  <sheetViews>
    <sheetView topLeftCell="A37" zoomScale="91" zoomScaleNormal="91" workbookViewId="0">
      <selection activeCell="D21" sqref="D21"/>
    </sheetView>
  </sheetViews>
  <sheetFormatPr defaultRowHeight="14.4" x14ac:dyDescent="0.3"/>
  <cols>
    <col min="7" max="7" width="11.109375" bestFit="1" customWidth="1"/>
  </cols>
  <sheetData>
    <row r="1" spans="2:17" x14ac:dyDescent="0.3">
      <c r="F1" s="14" t="s">
        <v>8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 x14ac:dyDescent="0.3">
      <c r="F2" s="14" t="s">
        <v>9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x14ac:dyDescent="0.3">
      <c r="B3" s="14" t="s">
        <v>0</v>
      </c>
      <c r="C3" s="14">
        <v>0.1</v>
      </c>
      <c r="F3" s="14" t="s">
        <v>3</v>
      </c>
      <c r="G3" s="8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8">
        <v>0.04</v>
      </c>
    </row>
    <row r="4" spans="2:17" x14ac:dyDescent="0.3">
      <c r="B4" s="14" t="s">
        <v>1</v>
      </c>
      <c r="C4" s="14">
        <f>C3/10</f>
        <v>0.01</v>
      </c>
      <c r="F4" s="14" t="s">
        <v>10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4">
        <f t="shared" si="2"/>
        <v>5.0265482457436689E-3</v>
      </c>
    </row>
    <row r="5" spans="2:17" x14ac:dyDescent="0.3">
      <c r="B5" s="16"/>
      <c r="C5" s="16"/>
      <c r="F5" s="14" t="s">
        <v>11</v>
      </c>
      <c r="G5" s="1">
        <v>57.428248098870547</v>
      </c>
      <c r="H5" s="1">
        <v>63.632407866307894</v>
      </c>
      <c r="I5" s="1">
        <v>70.899071759742355</v>
      </c>
      <c r="J5" s="1">
        <v>79.485464563337672</v>
      </c>
      <c r="K5" s="1">
        <v>89.731637755915571</v>
      </c>
      <c r="L5" s="1">
        <v>102.09466342324735</v>
      </c>
      <c r="M5" s="1">
        <v>117.2005064951568</v>
      </c>
      <c r="N5" s="1">
        <v>135.9248477766655</v>
      </c>
      <c r="O5" s="1">
        <v>159.52291162721167</v>
      </c>
      <c r="P5" s="1">
        <v>189.84544854415856</v>
      </c>
      <c r="Q5" s="1">
        <v>229.71299273429096</v>
      </c>
    </row>
    <row r="6" spans="2:17" x14ac:dyDescent="0.3">
      <c r="B6" s="14" t="s">
        <v>2</v>
      </c>
      <c r="C6" s="14">
        <v>1.4</v>
      </c>
      <c r="F6" s="14" t="s">
        <v>12</v>
      </c>
      <c r="G6" s="1">
        <v>133045.93281977452</v>
      </c>
      <c r="H6" s="1">
        <v>132578.1118543206</v>
      </c>
      <c r="I6" s="1">
        <v>131967.60018031701</v>
      </c>
      <c r="J6" s="1">
        <v>131158.84547646268</v>
      </c>
      <c r="K6" s="1">
        <v>130069.34948336399</v>
      </c>
      <c r="L6" s="1">
        <v>128573.64373420661</v>
      </c>
      <c r="M6" s="1">
        <v>126475.70497018557</v>
      </c>
      <c r="N6" s="1">
        <v>123459.75763265575</v>
      </c>
      <c r="O6" s="1">
        <v>118998.90588541509</v>
      </c>
      <c r="P6" s="1">
        <v>112177.34007334249</v>
      </c>
      <c r="Q6" s="1">
        <v>101325</v>
      </c>
    </row>
    <row r="7" spans="2:17" x14ac:dyDescent="0.3">
      <c r="B7" s="14" t="s">
        <v>3</v>
      </c>
      <c r="C7" s="14">
        <v>286.97199999999998</v>
      </c>
      <c r="F7" s="14" t="s">
        <v>13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</row>
    <row r="8" spans="2:17" x14ac:dyDescent="0.3">
      <c r="B8" s="14" t="s">
        <v>4</v>
      </c>
      <c r="C8" s="14">
        <f>C7*(C6/(C6-1))</f>
        <v>1004.402</v>
      </c>
      <c r="F8" s="15"/>
      <c r="G8" s="7"/>
      <c r="H8" s="7"/>
      <c r="I8" s="7"/>
      <c r="J8" s="7"/>
      <c r="K8" s="7"/>
      <c r="L8" s="7"/>
      <c r="M8" s="7"/>
      <c r="N8" s="7"/>
      <c r="O8" s="7"/>
      <c r="P8" s="7"/>
      <c r="Q8" s="7"/>
    </row>
    <row r="9" spans="2:17" x14ac:dyDescent="0.3">
      <c r="B9" s="16"/>
      <c r="C9" s="16"/>
      <c r="F9" s="14" t="s">
        <v>14</v>
      </c>
      <c r="G9" s="3">
        <f>G4*G7*G12</f>
        <v>1.3682761751670505</v>
      </c>
      <c r="H9" s="3">
        <f>H4*H7*H12</f>
        <v>1.3682761751782562</v>
      </c>
      <c r="I9" s="3">
        <f t="shared" ref="I9:Q9" si="3">I4*I7*I12</f>
        <v>1.3682761757962516</v>
      </c>
      <c r="J9" s="3">
        <f t="shared" si="3"/>
        <v>1.3682761763089715</v>
      </c>
      <c r="K9" s="3">
        <f t="shared" si="3"/>
        <v>1.3682761767065679</v>
      </c>
      <c r="L9" s="3">
        <f t="shared" si="3"/>
        <v>1.3682761769858383</v>
      </c>
      <c r="M9" s="3">
        <f t="shared" si="3"/>
        <v>1.3682761771526217</v>
      </c>
      <c r="N9" s="3">
        <f t="shared" si="3"/>
        <v>1.3682761772237118</v>
      </c>
      <c r="O9" s="3">
        <f t="shared" si="3"/>
        <v>1.3682761772270753</v>
      </c>
      <c r="P9" s="3">
        <f t="shared" si="3"/>
        <v>1.3682761771987055</v>
      </c>
      <c r="Q9" s="3">
        <f t="shared" si="3"/>
        <v>1.3682761771740886</v>
      </c>
    </row>
    <row r="10" spans="2:17" x14ac:dyDescent="0.3">
      <c r="B10" s="18" t="s">
        <v>5</v>
      </c>
      <c r="C10" s="18">
        <v>135000</v>
      </c>
      <c r="F10" s="14" t="s">
        <v>15</v>
      </c>
      <c r="G10" s="5">
        <f>(G12)*(G9-H9)</f>
        <v>-6.4352389385767531E-10</v>
      </c>
      <c r="H10" s="5">
        <f>(H12)*(H9-I9)</f>
        <v>-3.9324537427407602E-8</v>
      </c>
      <c r="I10" s="5">
        <f t="shared" ref="I10:P10" si="4">(I12)*(I9-J9)</f>
        <v>-3.6351362612345875E-8</v>
      </c>
      <c r="J10" s="5">
        <f t="shared" si="4"/>
        <v>-3.1603134582552572E-8</v>
      </c>
      <c r="K10" s="5">
        <f t="shared" si="4"/>
        <v>-2.5059388986555663E-8</v>
      </c>
      <c r="L10" s="5">
        <f t="shared" si="4"/>
        <v>-1.7027702838531869E-8</v>
      </c>
      <c r="M10" s="5">
        <f t="shared" si="4"/>
        <v>-8.331786673927533E-9</v>
      </c>
      <c r="N10" s="5">
        <f t="shared" si="4"/>
        <v>-4.5718753097151025E-10</v>
      </c>
      <c r="O10" s="5">
        <f t="shared" si="4"/>
        <v>4.5256252805193291E-9</v>
      </c>
      <c r="P10" s="5">
        <f t="shared" si="4"/>
        <v>4.673420684409093E-9</v>
      </c>
      <c r="Q10" s="12">
        <v>0</v>
      </c>
    </row>
    <row r="11" spans="2:17" x14ac:dyDescent="0.3">
      <c r="B11" s="18" t="s">
        <v>6</v>
      </c>
      <c r="C11" s="18">
        <v>288.16000000000003</v>
      </c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2:17" x14ac:dyDescent="0.3">
      <c r="B12" s="18" t="s">
        <v>12</v>
      </c>
      <c r="C12" s="18">
        <v>101325</v>
      </c>
      <c r="F12" s="14" t="s">
        <v>11</v>
      </c>
      <c r="G12" s="9">
        <f>(H4*H5*H7)/(G4*G7)</f>
        <v>57.428248099342866</v>
      </c>
      <c r="H12" s="8">
        <f>((G6-H6)/H7+G5*H5)^0.5</f>
        <v>63.63240786682902</v>
      </c>
      <c r="I12" s="8">
        <f t="shared" ref="I12:Q12" si="5">((H6-I6)/I7+H5*I5)^0.5</f>
        <v>70.899071760186686</v>
      </c>
      <c r="J12" s="8">
        <f t="shared" si="5"/>
        <v>79.485464563696496</v>
      </c>
      <c r="K12" s="8">
        <f t="shared" si="5"/>
        <v>89.731637756184909</v>
      </c>
      <c r="L12" s="8">
        <f t="shared" si="5"/>
        <v>102.09466342343052</v>
      </c>
      <c r="M12" s="8">
        <f t="shared" si="5"/>
        <v>117.20050649526489</v>
      </c>
      <c r="N12" s="8">
        <f t="shared" si="5"/>
        <v>135.92484777671842</v>
      </c>
      <c r="O12" s="8">
        <f t="shared" si="5"/>
        <v>159.52291162723532</v>
      </c>
      <c r="P12" s="8">
        <f t="shared" si="5"/>
        <v>189.84544854417859</v>
      </c>
      <c r="Q12" s="8">
        <f t="shared" si="5"/>
        <v>229.71299273432297</v>
      </c>
    </row>
    <row r="13" spans="2:17" x14ac:dyDescent="0.3">
      <c r="B13" s="16"/>
      <c r="C13" s="16"/>
      <c r="F13" s="14" t="s">
        <v>12</v>
      </c>
      <c r="G13" s="10">
        <f>C10-(G7*G12^2)/2</f>
        <v>133045.93281974239</v>
      </c>
      <c r="H13" s="10">
        <f>H6+H10</f>
        <v>132578.11185428128</v>
      </c>
      <c r="I13" s="10">
        <f t="shared" ref="I13:P13" si="6">I6+I10</f>
        <v>131967.60018028066</v>
      </c>
      <c r="J13" s="10">
        <f t="shared" si="6"/>
        <v>131158.84547643107</v>
      </c>
      <c r="K13" s="10">
        <f t="shared" si="6"/>
        <v>130069.34948333893</v>
      </c>
      <c r="L13" s="10">
        <f t="shared" si="6"/>
        <v>128573.64373418958</v>
      </c>
      <c r="M13" s="10">
        <f t="shared" si="6"/>
        <v>126475.70497017723</v>
      </c>
      <c r="N13" s="10">
        <f t="shared" si="6"/>
        <v>123459.7576326553</v>
      </c>
      <c r="O13" s="10">
        <f t="shared" si="6"/>
        <v>118998.90588541962</v>
      </c>
      <c r="P13" s="10">
        <f t="shared" si="6"/>
        <v>112177.34007334716</v>
      </c>
      <c r="Q13" s="10">
        <f>Q6+Q10</f>
        <v>101325</v>
      </c>
    </row>
    <row r="14" spans="2:17" x14ac:dyDescent="0.3">
      <c r="B14" s="14" t="s">
        <v>7</v>
      </c>
      <c r="C14" s="14">
        <v>1218</v>
      </c>
      <c r="D14" s="16">
        <v>1218</v>
      </c>
      <c r="F14" s="14" t="s">
        <v>13</v>
      </c>
      <c r="G14" s="11">
        <v>1.1850000000000001</v>
      </c>
      <c r="H14" s="11">
        <v>1.1850000000000001</v>
      </c>
      <c r="I14" s="11">
        <v>1.1850000000000001</v>
      </c>
      <c r="J14" s="11">
        <v>1.1850000000000001</v>
      </c>
      <c r="K14" s="11">
        <v>1.1850000000000001</v>
      </c>
      <c r="L14" s="11">
        <v>1.1850000000000001</v>
      </c>
      <c r="M14" s="11">
        <v>1.1850000000000001</v>
      </c>
      <c r="N14" s="11">
        <v>1.1850000000000001</v>
      </c>
      <c r="O14" s="11">
        <v>1.1850000000000001</v>
      </c>
      <c r="P14" s="11">
        <v>1.1850000000000001</v>
      </c>
      <c r="Q14" s="11">
        <v>1.1850000000000001</v>
      </c>
    </row>
    <row r="15" spans="2:17" x14ac:dyDescent="0.3"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2:17" x14ac:dyDescent="0.3">
      <c r="F16" s="14" t="s">
        <v>16</v>
      </c>
      <c r="G16" s="14">
        <f>$C$11-(G12^2)/(2*$C$8)</f>
        <v>286.51822525255841</v>
      </c>
      <c r="H16" s="14">
        <f t="shared" ref="H16:Q16" si="7">$C$11-(H12^2)/(2*$C$8)</f>
        <v>286.14433130811648</v>
      </c>
      <c r="I16" s="14">
        <f t="shared" si="7"/>
        <v>285.65767604183583</v>
      </c>
      <c r="J16" s="14">
        <f t="shared" si="7"/>
        <v>285.01487530047399</v>
      </c>
      <c r="K16" s="14">
        <f t="shared" si="7"/>
        <v>284.15176086148415</v>
      </c>
      <c r="L16" s="14">
        <f t="shared" si="7"/>
        <v>282.97118103132834</v>
      </c>
      <c r="M16" s="14">
        <f t="shared" si="7"/>
        <v>281.32212098206367</v>
      </c>
      <c r="N16" s="14">
        <f t="shared" si="7"/>
        <v>278.96270437378462</v>
      </c>
      <c r="O16" s="14">
        <f t="shared" si="7"/>
        <v>275.49198493529946</v>
      </c>
      <c r="P16" s="14">
        <f t="shared" si="7"/>
        <v>270.2183320558201</v>
      </c>
      <c r="Q16" s="14">
        <f t="shared" si="7"/>
        <v>261.89160396387149</v>
      </c>
    </row>
    <row r="17" spans="6:23" x14ac:dyDescent="0.3">
      <c r="F17" s="14" t="s">
        <v>17</v>
      </c>
      <c r="G17" s="14">
        <f>SQRT($C$6*$C$7*G16)</f>
        <v>339.28128653382589</v>
      </c>
      <c r="H17" s="14">
        <f t="shared" ref="H17:Q17" si="8">SQRT($C$6*$C$7*H16)</f>
        <v>339.0598405323372</v>
      </c>
      <c r="I17" s="14">
        <f t="shared" si="8"/>
        <v>338.77139261264193</v>
      </c>
      <c r="J17" s="14">
        <f t="shared" si="8"/>
        <v>338.3900180451821</v>
      </c>
      <c r="K17" s="14">
        <f t="shared" si="8"/>
        <v>337.8772539919172</v>
      </c>
      <c r="L17" s="14">
        <f t="shared" si="8"/>
        <v>337.17462548076077</v>
      </c>
      <c r="M17" s="14">
        <f t="shared" si="8"/>
        <v>336.19072025183959</v>
      </c>
      <c r="N17" s="14">
        <f t="shared" si="8"/>
        <v>334.77795518727811</v>
      </c>
      <c r="O17" s="14">
        <f t="shared" si="8"/>
        <v>332.68886404746678</v>
      </c>
      <c r="P17" s="14">
        <f t="shared" si="8"/>
        <v>329.48920052319153</v>
      </c>
      <c r="Q17" s="14">
        <f t="shared" si="8"/>
        <v>324.3729031867615</v>
      </c>
    </row>
    <row r="18" spans="6:23" x14ac:dyDescent="0.3">
      <c r="F18" s="14" t="s">
        <v>18</v>
      </c>
      <c r="G18" s="14">
        <f>G12/G17</f>
        <v>0.16926441386155658</v>
      </c>
      <c r="H18" s="14">
        <f t="shared" ref="H18:Q18" si="9">H12/H17</f>
        <v>0.18767308970276059</v>
      </c>
      <c r="I18" s="14">
        <f t="shared" si="9"/>
        <v>0.20928293624029265</v>
      </c>
      <c r="J18" s="14">
        <f t="shared" si="9"/>
        <v>0.23489305335562094</v>
      </c>
      <c r="K18" s="14">
        <f t="shared" si="9"/>
        <v>0.26557466268010899</v>
      </c>
      <c r="L18" s="14">
        <f t="shared" si="9"/>
        <v>0.30279462245374705</v>
      </c>
      <c r="M18" s="14">
        <f t="shared" si="9"/>
        <v>0.34861315150956662</v>
      </c>
      <c r="N18" s="14">
        <f t="shared" si="9"/>
        <v>0.40601492921085774</v>
      </c>
      <c r="O18" s="14">
        <f t="shared" si="9"/>
        <v>0.47949579582103236</v>
      </c>
      <c r="P18" s="14">
        <f t="shared" si="9"/>
        <v>0.57618109559501651</v>
      </c>
      <c r="Q18" s="14">
        <f t="shared" si="9"/>
        <v>0.70817565363054702</v>
      </c>
    </row>
    <row r="19" spans="6:23" x14ac:dyDescent="0.3"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</row>
    <row r="20" spans="6:23" x14ac:dyDescent="0.3">
      <c r="F20" s="19" t="s">
        <v>20</v>
      </c>
      <c r="G20" s="19">
        <f>1-((($C$6-1)/($C$6+1))*G21^2)</f>
        <v>0.99458045628367397</v>
      </c>
      <c r="H20" s="19">
        <f t="shared" ref="H20:Q20" si="10">1-((($C$6-1)/($C$6+1))*H21^2)</f>
        <v>0.9934193209557336</v>
      </c>
      <c r="I20" s="19">
        <f t="shared" si="10"/>
        <v>0.99194567856495941</v>
      </c>
      <c r="J20" s="19">
        <f t="shared" si="10"/>
        <v>0.99006173338014702</v>
      </c>
      <c r="K20" s="19">
        <f t="shared" si="10"/>
        <v>0.98763782559381097</v>
      </c>
      <c r="L20" s="19">
        <f t="shared" si="10"/>
        <v>0.98450448330729046</v>
      </c>
      <c r="M20" s="19">
        <f t="shared" si="10"/>
        <v>0.98044649356152269</v>
      </c>
      <c r="N20" s="19">
        <f t="shared" si="10"/>
        <v>0.97520514579146311</v>
      </c>
      <c r="O20" s="19">
        <f t="shared" si="10"/>
        <v>0.96850101251704435</v>
      </c>
      <c r="P20" s="19">
        <f t="shared" si="10"/>
        <v>0.96009726225628922</v>
      </c>
      <c r="Q20" s="19">
        <f t="shared" si="10"/>
        <v>0.94992447642901234</v>
      </c>
    </row>
    <row r="21" spans="6:23" x14ac:dyDescent="0.3">
      <c r="F21" s="19" t="s">
        <v>19</v>
      </c>
      <c r="G21" s="19">
        <f>SQRT(((($C$6+1)/2)*G18^2)/(1+2*G18^2))</f>
        <v>0.18032543441776716</v>
      </c>
      <c r="H21" s="19">
        <f t="shared" ref="H21:Q21" si="11">SQRT(((($C$6+1)/2)*H18^2)/(1+2*H18^2))</f>
        <v>0.19870599957122204</v>
      </c>
      <c r="I21" s="19">
        <f t="shared" si="11"/>
        <v>0.21983159147457285</v>
      </c>
      <c r="J21" s="19">
        <f t="shared" si="11"/>
        <v>0.24419172737649819</v>
      </c>
      <c r="K21" s="19">
        <f t="shared" si="11"/>
        <v>0.27234729012261955</v>
      </c>
      <c r="L21" s="19">
        <f t="shared" si="11"/>
        <v>0.30491490641858976</v>
      </c>
      <c r="M21" s="19">
        <f t="shared" si="11"/>
        <v>0.34252158856174891</v>
      </c>
      <c r="N21" s="19">
        <f t="shared" si="11"/>
        <v>0.38570600883473616</v>
      </c>
      <c r="O21" s="19">
        <f t="shared" si="11"/>
        <v>0.43473431529812978</v>
      </c>
      <c r="P21" s="19">
        <f t="shared" si="11"/>
        <v>0.48930197880477144</v>
      </c>
      <c r="Q21" s="19">
        <f t="shared" si="11"/>
        <v>0.54813606105229551</v>
      </c>
    </row>
    <row r="22" spans="6:23" x14ac:dyDescent="0.3">
      <c r="F22" s="19" t="s">
        <v>21</v>
      </c>
      <c r="G22" s="19">
        <f>(1-((($C$6-1)/($C$6+1))*G21^2))^($C$6/($C$6-1))</f>
        <v>0.98115974913454784</v>
      </c>
      <c r="H22" s="19">
        <f t="shared" ref="H22:Q22" si="12">(1-((($C$6-1)/($C$6+1))*H21^2))^($C$6/($C$6-1))</f>
        <v>0.97715646131567213</v>
      </c>
      <c r="I22" s="19">
        <f t="shared" si="12"/>
        <v>0.97209254856902949</v>
      </c>
      <c r="J22" s="19">
        <f t="shared" si="12"/>
        <v>0.96564603726600373</v>
      </c>
      <c r="K22" s="19">
        <f t="shared" si="12"/>
        <v>0.95739686546670333</v>
      </c>
      <c r="L22" s="19">
        <f t="shared" si="12"/>
        <v>0.94680805424396086</v>
      </c>
      <c r="M22" s="19">
        <f t="shared" si="12"/>
        <v>0.93321914940214024</v>
      </c>
      <c r="N22" s="19">
        <f t="shared" si="12"/>
        <v>0.9158744522007396</v>
      </c>
      <c r="O22" s="19">
        <f t="shared" si="12"/>
        <v>0.89402626289117859</v>
      </c>
      <c r="P22" s="19">
        <f t="shared" si="12"/>
        <v>0.86716813227759648</v>
      </c>
      <c r="Q22" s="19">
        <f t="shared" si="12"/>
        <v>0.83543328363961356</v>
      </c>
    </row>
    <row r="23" spans="6:23" x14ac:dyDescent="0.3">
      <c r="F23" s="19" t="s">
        <v>5</v>
      </c>
      <c r="G23" s="19">
        <f>G14/G22</f>
        <v>1.2077543958007386</v>
      </c>
      <c r="H23" s="19">
        <f t="shared" ref="H23:Q23" si="13">H14/H22</f>
        <v>1.2127024145186343</v>
      </c>
      <c r="I23" s="19">
        <f t="shared" si="13"/>
        <v>1.2190197340205737</v>
      </c>
      <c r="J23" s="19">
        <f t="shared" si="13"/>
        <v>1.227157730958069</v>
      </c>
      <c r="K23" s="19">
        <f t="shared" si="13"/>
        <v>1.2377312301125476</v>
      </c>
      <c r="L23" s="19">
        <f t="shared" si="13"/>
        <v>1.2515736370094979</v>
      </c>
      <c r="M23" s="19">
        <f t="shared" si="13"/>
        <v>1.2697982041615428</v>
      </c>
      <c r="N23" s="19">
        <f t="shared" si="13"/>
        <v>1.2938454579146554</v>
      </c>
      <c r="O23" s="19">
        <f t="shared" si="13"/>
        <v>1.3254644177541783</v>
      </c>
      <c r="P23" s="19">
        <f t="shared" si="13"/>
        <v>1.3665170062091947</v>
      </c>
      <c r="Q23" s="19">
        <f t="shared" si="13"/>
        <v>1.4184256519413241</v>
      </c>
    </row>
    <row r="24" spans="6:23" x14ac:dyDescent="0.3"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6:23" x14ac:dyDescent="0.3">
      <c r="F25" s="14"/>
      <c r="G25" s="14">
        <v>0</v>
      </c>
      <c r="H25" s="14">
        <v>2.5000000000000001E-2</v>
      </c>
      <c r="I25" s="14">
        <v>0.05</v>
      </c>
      <c r="J25" s="14">
        <v>7.4999999999999997E-2</v>
      </c>
      <c r="K25" s="14">
        <v>0.1</v>
      </c>
      <c r="L25" s="16"/>
      <c r="M25" s="16"/>
      <c r="N25" s="16"/>
      <c r="O25" s="16"/>
      <c r="P25" s="16"/>
      <c r="Q25" s="16"/>
    </row>
    <row r="26" spans="6:23" x14ac:dyDescent="0.3">
      <c r="F26" s="14" t="s">
        <v>22</v>
      </c>
      <c r="G26" s="14">
        <v>46.31</v>
      </c>
      <c r="H26" s="14">
        <v>58.19</v>
      </c>
      <c r="I26" s="14">
        <v>80.48</v>
      </c>
      <c r="J26" s="14">
        <v>120.03</v>
      </c>
      <c r="K26" s="14">
        <v>213.26</v>
      </c>
      <c r="L26" s="16"/>
      <c r="M26" s="16"/>
      <c r="N26" s="16"/>
      <c r="O26" s="16"/>
      <c r="P26" s="16"/>
      <c r="Q26" s="16"/>
      <c r="R26" s="6"/>
      <c r="S26" s="6"/>
      <c r="T26" s="6"/>
      <c r="U26" s="6"/>
      <c r="V26" s="6"/>
      <c r="W26" s="6"/>
    </row>
    <row r="27" spans="6:23" x14ac:dyDescent="0.3">
      <c r="F27" s="14" t="s">
        <v>23</v>
      </c>
      <c r="G27" s="14">
        <v>133165</v>
      </c>
      <c r="H27" s="14">
        <v>132230</v>
      </c>
      <c r="I27" s="14">
        <v>129765</v>
      </c>
      <c r="J27" s="14">
        <v>123565</v>
      </c>
      <c r="K27" s="14">
        <v>101336</v>
      </c>
      <c r="L27" s="16"/>
      <c r="M27" s="16"/>
      <c r="N27" s="16"/>
      <c r="O27" s="16"/>
      <c r="P27" s="16"/>
      <c r="Q27" s="16"/>
      <c r="R27" s="6"/>
      <c r="S27" s="6"/>
      <c r="T27" s="6"/>
      <c r="U27" s="6"/>
      <c r="V27" s="6"/>
      <c r="W27" s="6"/>
    </row>
    <row r="28" spans="6:23" x14ac:dyDescent="0.3">
      <c r="F28" s="14" t="s">
        <v>24</v>
      </c>
      <c r="G28" s="14">
        <v>1.387</v>
      </c>
      <c r="H28" s="14"/>
      <c r="I28" s="14"/>
      <c r="J28" s="14"/>
      <c r="K28" s="14"/>
      <c r="L28" s="16"/>
      <c r="M28" s="16"/>
      <c r="N28" s="16"/>
      <c r="O28" s="16"/>
      <c r="P28" s="16"/>
      <c r="Q28" s="16"/>
      <c r="R28" s="6"/>
      <c r="S28" s="6"/>
      <c r="T28" s="6"/>
      <c r="U28" s="6"/>
      <c r="V28" s="6"/>
      <c r="W28" s="6"/>
    </row>
    <row r="29" spans="6:23" x14ac:dyDescent="0.3">
      <c r="R29" s="6"/>
      <c r="S29" s="6"/>
      <c r="T29" s="6"/>
      <c r="U29" s="6"/>
      <c r="V29" s="6"/>
      <c r="W29" s="6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Q18"/>
  <sheetViews>
    <sheetView tabSelected="1" zoomScale="80" zoomScaleNormal="80" workbookViewId="0">
      <selection activeCell="M21" sqref="M21"/>
    </sheetView>
  </sheetViews>
  <sheetFormatPr defaultRowHeight="14.4" x14ac:dyDescent="0.3"/>
  <cols>
    <col min="7" max="7" width="11.109375" bestFit="1" customWidth="1"/>
  </cols>
  <sheetData>
    <row r="1" spans="2:17" x14ac:dyDescent="0.3">
      <c r="F1" s="14" t="s">
        <v>8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 x14ac:dyDescent="0.3">
      <c r="F2" s="14" t="s">
        <v>9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x14ac:dyDescent="0.3">
      <c r="B3" s="14" t="s">
        <v>0</v>
      </c>
      <c r="C3" s="14">
        <v>0.1</v>
      </c>
      <c r="F3" s="14" t="s">
        <v>3</v>
      </c>
      <c r="G3" s="8">
        <v>0.08</v>
      </c>
      <c r="H3" s="11">
        <f>G3+($Q$3-$G$3)/10</f>
        <v>7.5999999999999998E-2</v>
      </c>
      <c r="I3" s="11">
        <f t="shared" ref="I3:P3" si="1">H3+($Q$3-$G$3)/10</f>
        <v>7.1999999999999995E-2</v>
      </c>
      <c r="J3" s="11">
        <f t="shared" si="1"/>
        <v>6.7999999999999991E-2</v>
      </c>
      <c r="K3" s="11">
        <f t="shared" si="1"/>
        <v>6.3999999999999987E-2</v>
      </c>
      <c r="L3" s="11">
        <f t="shared" si="1"/>
        <v>5.9999999999999984E-2</v>
      </c>
      <c r="M3" s="11">
        <f t="shared" si="1"/>
        <v>5.599999999999998E-2</v>
      </c>
      <c r="N3" s="11">
        <f t="shared" si="1"/>
        <v>5.1999999999999977E-2</v>
      </c>
      <c r="O3" s="11">
        <f t="shared" si="1"/>
        <v>4.7999999999999973E-2</v>
      </c>
      <c r="P3" s="11">
        <f t="shared" si="1"/>
        <v>4.399999999999997E-2</v>
      </c>
      <c r="Q3" s="8">
        <v>0.04</v>
      </c>
    </row>
    <row r="4" spans="2:17" x14ac:dyDescent="0.3">
      <c r="B4" s="14" t="s">
        <v>1</v>
      </c>
      <c r="C4" s="14">
        <f>C3/10</f>
        <v>0.01</v>
      </c>
      <c r="F4" s="14" t="s">
        <v>10</v>
      </c>
      <c r="G4" s="9">
        <f>(PI()*(2*G3)^2)/4</f>
        <v>2.0106192982974676E-2</v>
      </c>
      <c r="H4" s="9">
        <f t="shared" ref="H4:Q4" si="2">(PI()*(2*H3)^2)/4</f>
        <v>1.8145839167134643E-2</v>
      </c>
      <c r="I4" s="9">
        <f t="shared" si="2"/>
        <v>1.6286016316209486E-2</v>
      </c>
      <c r="J4" s="9">
        <f t="shared" si="2"/>
        <v>1.4526724430199199E-2</v>
      </c>
      <c r="K4" s="9">
        <f t="shared" si="2"/>
        <v>1.2867963509103787E-2</v>
      </c>
      <c r="L4" s="9">
        <f t="shared" si="2"/>
        <v>1.1309733552923249E-2</v>
      </c>
      <c r="M4" s="9">
        <f t="shared" si="2"/>
        <v>9.8520345616575841E-3</v>
      </c>
      <c r="N4" s="9">
        <f t="shared" si="2"/>
        <v>8.4948665353067939E-3</v>
      </c>
      <c r="O4" s="9">
        <f t="shared" si="2"/>
        <v>7.2382294738708754E-3</v>
      </c>
      <c r="P4" s="9">
        <f t="shared" si="2"/>
        <v>6.0821233773498311E-3</v>
      </c>
      <c r="Q4" s="9">
        <f t="shared" si="2"/>
        <v>5.0265482457436689E-3</v>
      </c>
    </row>
    <row r="5" spans="2:17" x14ac:dyDescent="0.3">
      <c r="B5" s="16"/>
      <c r="C5" s="16"/>
      <c r="F5" s="14" t="s">
        <v>11</v>
      </c>
      <c r="G5" s="10">
        <v>42.000578438877</v>
      </c>
      <c r="H5" s="10">
        <v>46.626736296426031</v>
      </c>
      <c r="I5" s="10">
        <v>52.082037755027933</v>
      </c>
      <c r="J5" s="10">
        <v>58.586934523649369</v>
      </c>
      <c r="K5" s="10">
        <v>66.446359472500816</v>
      </c>
      <c r="L5" s="10">
        <v>76.096659328838456</v>
      </c>
      <c r="M5" s="10">
        <v>88.191088271710029</v>
      </c>
      <c r="N5" s="10">
        <v>103.77217105353201</v>
      </c>
      <c r="O5" s="10">
        <v>124.67534850155737</v>
      </c>
      <c r="P5" s="10">
        <v>154.73848218063253</v>
      </c>
      <c r="Q5" s="10">
        <v>205.87821823922673</v>
      </c>
    </row>
    <row r="6" spans="2:17" x14ac:dyDescent="0.3">
      <c r="B6" s="14" t="s">
        <v>2</v>
      </c>
      <c r="C6" s="14">
        <v>1.4</v>
      </c>
      <c r="F6" s="14" t="s">
        <v>12</v>
      </c>
      <c r="G6" s="10">
        <v>133570.95834157526</v>
      </c>
      <c r="H6" s="10">
        <v>133222.14523165711</v>
      </c>
      <c r="I6" s="10">
        <v>132763.84173802566</v>
      </c>
      <c r="J6" s="10">
        <v>132151.17845559432</v>
      </c>
      <c r="K6" s="10">
        <v>131315.51779670102</v>
      </c>
      <c r="L6" s="10">
        <v>130148.07042395642</v>
      </c>
      <c r="M6" s="10">
        <v>128468.46138144769</v>
      </c>
      <c r="N6" s="10">
        <v>125958.94666705352</v>
      </c>
      <c r="O6" s="10">
        <v>122007.75072771324</v>
      </c>
      <c r="P6" s="10">
        <v>115244.93437766572</v>
      </c>
      <c r="Q6" s="10">
        <v>101325</v>
      </c>
    </row>
    <row r="7" spans="2:17" x14ac:dyDescent="0.3">
      <c r="B7" s="14" t="s">
        <v>3</v>
      </c>
      <c r="C7" s="14">
        <v>286.97199999999998</v>
      </c>
      <c r="F7" s="14" t="s">
        <v>13</v>
      </c>
      <c r="G7" s="11">
        <v>1.6201840100034393</v>
      </c>
      <c r="H7" s="11">
        <v>1.6171018830613579</v>
      </c>
      <c r="I7" s="11">
        <v>1.6130450225779389</v>
      </c>
      <c r="J7" s="11">
        <v>1.6076100307835337</v>
      </c>
      <c r="K7" s="11">
        <v>1.6001770021696182</v>
      </c>
      <c r="L7" s="11">
        <v>1.5897576912517526</v>
      </c>
      <c r="M7" s="11">
        <v>1.5747011690662456</v>
      </c>
      <c r="N7" s="11">
        <v>1.5520696889643153</v>
      </c>
      <c r="O7" s="11">
        <v>1.5161273175442551</v>
      </c>
      <c r="P7" s="11">
        <v>1.4537676982948551</v>
      </c>
      <c r="Q7" s="11">
        <v>1.3221121765870565</v>
      </c>
    </row>
    <row r="8" spans="2:17" x14ac:dyDescent="0.3">
      <c r="B8" s="14" t="s">
        <v>4</v>
      </c>
      <c r="C8" s="14">
        <f>C7*(C6/(C6-1))</f>
        <v>1004.402</v>
      </c>
      <c r="F8" s="15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2:17" x14ac:dyDescent="0.3">
      <c r="B9" s="16"/>
      <c r="C9" s="16"/>
      <c r="F9" s="14" t="s">
        <v>14</v>
      </c>
      <c r="G9" s="11">
        <f>G4*G7*G12</f>
        <v>1.3681995950873449</v>
      </c>
      <c r="H9" s="11">
        <f>H4*H7*H12</f>
        <v>1.3681995874142157</v>
      </c>
      <c r="I9" s="11">
        <f t="shared" ref="I9:Q9" si="3">I4*I7*I12</f>
        <v>1.3681991638393569</v>
      </c>
      <c r="J9" s="11">
        <f t="shared" si="3"/>
        <v>1.3681987147789589</v>
      </c>
      <c r="K9" s="11">
        <f t="shared" si="3"/>
        <v>1.3681982628750382</v>
      </c>
      <c r="L9" s="11">
        <f t="shared" si="3"/>
        <v>1.3681978333095759</v>
      </c>
      <c r="M9" s="11">
        <f t="shared" si="3"/>
        <v>1.3681974522888203</v>
      </c>
      <c r="N9" s="11">
        <f t="shared" si="3"/>
        <v>1.3681971442945591</v>
      </c>
      <c r="O9" s="11">
        <f t="shared" si="3"/>
        <v>1.3681969276853752</v>
      </c>
      <c r="P9" s="11">
        <f t="shared" si="3"/>
        <v>1.3681968083826694</v>
      </c>
      <c r="Q9" s="11">
        <f t="shared" si="3"/>
        <v>1.3681967718113028</v>
      </c>
    </row>
    <row r="10" spans="2:17" x14ac:dyDescent="0.3">
      <c r="B10" s="18" t="s">
        <v>5</v>
      </c>
      <c r="C10" s="18">
        <v>135000</v>
      </c>
      <c r="F10" s="14" t="s">
        <v>15</v>
      </c>
      <c r="G10" s="12">
        <f>(G12)*(G9-H9)</f>
        <v>3.2227586484433227E-7</v>
      </c>
      <c r="H10" s="12">
        <f>(H12)*(H9-I9)</f>
        <v>1.9749913129660098E-5</v>
      </c>
      <c r="I10" s="12">
        <f t="shared" ref="I10:P10" si="4">(I12)*(I9-J9)</f>
        <v>2.3387980477241848E-5</v>
      </c>
      <c r="J10" s="12">
        <f t="shared" si="4"/>
        <v>2.6475665287718538E-5</v>
      </c>
      <c r="K10" s="12">
        <f t="shared" si="4"/>
        <v>2.854306100936909E-5</v>
      </c>
      <c r="L10" s="12">
        <f t="shared" si="4"/>
        <v>2.899440654324033E-5</v>
      </c>
      <c r="M10" s="12">
        <f t="shared" si="4"/>
        <v>2.716234901320236E-5</v>
      </c>
      <c r="N10" s="12">
        <f t="shared" si="4"/>
        <v>2.2478005251580309E-5</v>
      </c>
      <c r="O10" s="12">
        <f t="shared" si="4"/>
        <v>1.4874106399849458E-5</v>
      </c>
      <c r="P10" s="12">
        <f t="shared" si="4"/>
        <v>5.6589977572943691E-6</v>
      </c>
      <c r="Q10" s="12">
        <v>0</v>
      </c>
    </row>
    <row r="11" spans="2:17" x14ac:dyDescent="0.3">
      <c r="B11" s="18" t="s">
        <v>6</v>
      </c>
      <c r="C11" s="18">
        <v>288.16000000000003</v>
      </c>
      <c r="F11" s="16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</row>
    <row r="12" spans="2:17" x14ac:dyDescent="0.3">
      <c r="B12" s="18" t="s">
        <v>12</v>
      </c>
      <c r="C12" s="18">
        <v>101325</v>
      </c>
      <c r="F12" s="14" t="s">
        <v>11</v>
      </c>
      <c r="G12" s="9">
        <f>(H4*H5*H7)/(G4*G7)</f>
        <v>42.000578204003354</v>
      </c>
      <c r="H12" s="8">
        <f>((G6-H6)/H7+G5*H5)^0.5</f>
        <v>46.626736034934233</v>
      </c>
      <c r="I12" s="8">
        <f t="shared" ref="I12:Q12" si="5">((H6-I6)/I7+H5*I5)^0.5</f>
        <v>52.082037477716341</v>
      </c>
      <c r="J12" s="8">
        <f t="shared" si="5"/>
        <v>58.586934242658842</v>
      </c>
      <c r="K12" s="8">
        <f t="shared" si="5"/>
        <v>66.446359201548901</v>
      </c>
      <c r="L12" s="8">
        <f t="shared" si="5"/>
        <v>76.096659082464953</v>
      </c>
      <c r="M12" s="8">
        <f t="shared" si="5"/>
        <v>88.191088063900722</v>
      </c>
      <c r="N12" s="8">
        <f t="shared" si="5"/>
        <v>103.77217089551357</v>
      </c>
      <c r="O12" s="8">
        <f t="shared" si="5"/>
        <v>124.67534839861412</v>
      </c>
      <c r="P12" s="8">
        <f t="shared" si="5"/>
        <v>154.73848212787377</v>
      </c>
      <c r="Q12" s="8">
        <f t="shared" si="5"/>
        <v>205.87821821430407</v>
      </c>
    </row>
    <row r="13" spans="2:17" x14ac:dyDescent="0.3">
      <c r="B13" s="16"/>
      <c r="C13" s="16"/>
      <c r="F13" s="14" t="s">
        <v>12</v>
      </c>
      <c r="G13" s="10">
        <f>C10-(G7*G12^2)/2</f>
        <v>133570.95835743714</v>
      </c>
      <c r="H13" s="10">
        <f>H6+H10</f>
        <v>133222.14525140703</v>
      </c>
      <c r="I13" s="10">
        <f t="shared" ref="I13:P13" si="6">I6+I10</f>
        <v>132763.84176141364</v>
      </c>
      <c r="J13" s="10">
        <f t="shared" si="6"/>
        <v>132151.17848206998</v>
      </c>
      <c r="K13" s="10">
        <f t="shared" si="6"/>
        <v>131315.51782524408</v>
      </c>
      <c r="L13" s="10">
        <f t="shared" si="6"/>
        <v>130148.07045295082</v>
      </c>
      <c r="M13" s="10">
        <f t="shared" si="6"/>
        <v>128468.46140861003</v>
      </c>
      <c r="N13" s="10">
        <f t="shared" si="6"/>
        <v>125958.94668953153</v>
      </c>
      <c r="O13" s="10">
        <f t="shared" si="6"/>
        <v>122007.75074258735</v>
      </c>
      <c r="P13" s="10">
        <f t="shared" si="6"/>
        <v>115244.93438332471</v>
      </c>
      <c r="Q13" s="10">
        <f>Q6+Q10</f>
        <v>101325</v>
      </c>
    </row>
    <row r="14" spans="2:17" x14ac:dyDescent="0.3">
      <c r="B14" s="14" t="s">
        <v>7</v>
      </c>
      <c r="C14" s="14">
        <v>1218</v>
      </c>
      <c r="F14" s="14" t="s">
        <v>13</v>
      </c>
      <c r="G14" s="11">
        <f>G13/($C$7*G16)</f>
        <v>1.620184010140449</v>
      </c>
      <c r="H14" s="11">
        <f t="shared" ref="H14:Q14" si="7">H13/($C$7*H16)</f>
        <v>1.6171018832327109</v>
      </c>
      <c r="I14" s="11">
        <f t="shared" si="7"/>
        <v>1.6130450227812241</v>
      </c>
      <c r="J14" s="11">
        <f t="shared" si="7"/>
        <v>1.6076100310136239</v>
      </c>
      <c r="K14" s="11">
        <f t="shared" si="7"/>
        <v>1.6001770024171333</v>
      </c>
      <c r="L14" s="11">
        <f t="shared" si="7"/>
        <v>1.5897576915018992</v>
      </c>
      <c r="M14" s="11">
        <f t="shared" si="7"/>
        <v>1.5747011692981181</v>
      </c>
      <c r="N14" s="11">
        <f t="shared" si="7"/>
        <v>1.5520696891516887</v>
      </c>
      <c r="O14" s="11">
        <f t="shared" si="7"/>
        <v>1.5161273176600014</v>
      </c>
      <c r="P14" s="11">
        <f t="shared" si="7"/>
        <v>1.4537676983234655</v>
      </c>
      <c r="Q14" s="11">
        <f t="shared" si="7"/>
        <v>1.3221121765617663</v>
      </c>
    </row>
    <row r="15" spans="2:17" x14ac:dyDescent="0.3"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2:17" x14ac:dyDescent="0.3">
      <c r="F16" s="14" t="s">
        <v>16</v>
      </c>
      <c r="G16" s="14">
        <f>$C$11-(G12^2)/(2*$C$8)</f>
        <v>287.28184136955593</v>
      </c>
      <c r="H16" s="14">
        <f t="shared" ref="H16:Q16" si="8">$C$11-(H12^2)/(2*$C$8)</f>
        <v>287.07773786129889</v>
      </c>
      <c r="I16" s="14">
        <f t="shared" si="8"/>
        <v>286.80967481753811</v>
      </c>
      <c r="J16" s="14">
        <f t="shared" si="8"/>
        <v>286.45130723358096</v>
      </c>
      <c r="K16" s="14">
        <f t="shared" si="8"/>
        <v>285.96211576085011</v>
      </c>
      <c r="L16" s="14">
        <f t="shared" si="8"/>
        <v>285.27733871322795</v>
      </c>
      <c r="M16" s="14">
        <f t="shared" si="8"/>
        <v>284.28820961433041</v>
      </c>
      <c r="N16" s="14">
        <f t="shared" si="8"/>
        <v>282.7992662238986</v>
      </c>
      <c r="O16" s="14">
        <f t="shared" si="8"/>
        <v>280.42209102614504</v>
      </c>
      <c r="P16" s="14">
        <f t="shared" si="8"/>
        <v>276.24047084173554</v>
      </c>
      <c r="Q16" s="14">
        <f t="shared" si="8"/>
        <v>267.0599619997289</v>
      </c>
    </row>
    <row r="17" spans="6:17" x14ac:dyDescent="0.3">
      <c r="F17" s="14" t="s">
        <v>17</v>
      </c>
      <c r="G17" s="14">
        <f>SQRT($C$6*$C$7*G16)</f>
        <v>339.73310467793078</v>
      </c>
      <c r="H17" s="14">
        <f t="shared" ref="H17:Q17" si="9">SQRT($C$6*$C$7*H16)</f>
        <v>339.61239910425195</v>
      </c>
      <c r="I17" s="14">
        <f t="shared" si="9"/>
        <v>339.45380304606095</v>
      </c>
      <c r="J17" s="14">
        <f t="shared" si="9"/>
        <v>339.24166364880546</v>
      </c>
      <c r="K17" s="14">
        <f t="shared" si="9"/>
        <v>338.95186737613903</v>
      </c>
      <c r="L17" s="14">
        <f t="shared" si="9"/>
        <v>338.54578984724861</v>
      </c>
      <c r="M17" s="14">
        <f t="shared" si="9"/>
        <v>337.95836803550384</v>
      </c>
      <c r="N17" s="14">
        <f t="shared" si="9"/>
        <v>337.07218727970786</v>
      </c>
      <c r="O17" s="14">
        <f t="shared" si="9"/>
        <v>335.65250427836355</v>
      </c>
      <c r="P17" s="14">
        <f t="shared" si="9"/>
        <v>333.14049972609502</v>
      </c>
      <c r="Q17" s="14">
        <f t="shared" si="9"/>
        <v>327.55797041284262</v>
      </c>
    </row>
    <row r="18" spans="6:17" x14ac:dyDescent="0.3">
      <c r="F18" s="14" t="s">
        <v>18</v>
      </c>
      <c r="G18" s="14">
        <f>G12/G17</f>
        <v>0.12362815876839608</v>
      </c>
      <c r="H18" s="14">
        <f t="shared" ref="H18:Q18" si="10">H12/H17</f>
        <v>0.13729397441882288</v>
      </c>
      <c r="I18" s="14">
        <f t="shared" si="10"/>
        <v>0.15342894087608516</v>
      </c>
      <c r="J18" s="14">
        <f t="shared" si="10"/>
        <v>0.17269970207229626</v>
      </c>
      <c r="K18" s="14">
        <f t="shared" si="10"/>
        <v>0.19603479312834871</v>
      </c>
      <c r="L18" s="14">
        <f t="shared" si="10"/>
        <v>0.22477508616131264</v>
      </c>
      <c r="M18" s="14">
        <f t="shared" si="10"/>
        <v>0.26095252079876274</v>
      </c>
      <c r="N18" s="14">
        <f t="shared" si="10"/>
        <v>0.30786334444556757</v>
      </c>
      <c r="O18" s="14">
        <f t="shared" si="10"/>
        <v>0.37144173456015178</v>
      </c>
      <c r="P18" s="14">
        <f t="shared" si="10"/>
        <v>0.46448415084655958</v>
      </c>
      <c r="Q18" s="14">
        <f t="shared" si="10"/>
        <v>0.62852452637565914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Моргунова</dc:creator>
  <cp:lastModifiedBy>HP</cp:lastModifiedBy>
  <dcterms:created xsi:type="dcterms:W3CDTF">2021-05-17T20:26:27Z</dcterms:created>
  <dcterms:modified xsi:type="dcterms:W3CDTF">2021-05-21T12:32:25Z</dcterms:modified>
</cp:coreProperties>
</file>