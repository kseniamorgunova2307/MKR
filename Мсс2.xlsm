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style1.xml" ContentType="application/vnd.ms-office.chartstyle+xml"/>
  <Override PartName="/xl/charts/colors1.xml" ContentType="application/vnd.ms-office.chartcolor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0" yWindow="0" windowWidth="23256" windowHeight="13176" activeTab="1"/>
  </bookViews>
  <sheets>
    <sheet name="ГУ 1ого рода" sheetId="1" r:id="rId1"/>
    <sheet name="ГУ 2ого рода " sheetId="2" r:id="rId2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5" i="2" l="1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AF14" i="2"/>
  <c r="B2" i="2"/>
  <c r="AD14" i="2" s="1"/>
  <c r="B13" i="2" l="1"/>
  <c r="E11" i="2"/>
  <c r="F14" i="2" s="1"/>
  <c r="H14" i="2"/>
  <c r="O14" i="2"/>
  <c r="S14" i="2"/>
  <c r="K14" i="2"/>
  <c r="W14" i="2"/>
  <c r="AE14" i="2"/>
  <c r="X14" i="2"/>
  <c r="P14" i="2"/>
  <c r="G14" i="2"/>
  <c r="AA14" i="2"/>
  <c r="I14" i="2"/>
  <c r="Q14" i="2"/>
  <c r="Y14" i="2"/>
  <c r="AG14" i="2"/>
  <c r="F10" i="2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J14" i="2"/>
  <c r="R14" i="2"/>
  <c r="Z14" i="2"/>
  <c r="AH14" i="2"/>
  <c r="L14" i="2"/>
  <c r="T14" i="2"/>
  <c r="AB14" i="2"/>
  <c r="B14" i="2"/>
  <c r="M14" i="2"/>
  <c r="U14" i="2"/>
  <c r="AC14" i="2"/>
  <c r="B12" i="2"/>
  <c r="N14" i="2"/>
  <c r="V14" i="2"/>
  <c r="E17" i="2" l="1"/>
  <c r="F17" i="2" s="1"/>
  <c r="E15" i="2"/>
  <c r="F16" i="2"/>
  <c r="G16" i="2" s="1"/>
  <c r="G17" i="2" l="1"/>
  <c r="H17" i="2" s="1"/>
  <c r="H16" i="2"/>
  <c r="I17" i="2" l="1"/>
  <c r="I16" i="2"/>
  <c r="J17" i="2" l="1"/>
  <c r="J16" i="2"/>
  <c r="K16" i="2" l="1"/>
  <c r="K17" i="2"/>
  <c r="L17" i="2" l="1"/>
  <c r="L16" i="2"/>
  <c r="M16" i="2" l="1"/>
  <c r="M17" i="2"/>
  <c r="N17" i="2" l="1"/>
  <c r="O17" i="2" s="1"/>
  <c r="N16" i="2"/>
  <c r="O16" i="2" l="1"/>
  <c r="P16" i="2" l="1"/>
  <c r="P17" i="2"/>
  <c r="Q16" i="2" l="1"/>
  <c r="Q17" i="2"/>
  <c r="R17" i="2" l="1"/>
  <c r="R16" i="2"/>
  <c r="S16" i="2" l="1"/>
  <c r="S17" i="2"/>
  <c r="T17" i="2" l="1"/>
  <c r="T16" i="2"/>
  <c r="U16" i="2" l="1"/>
  <c r="U17" i="2"/>
  <c r="V17" i="2" l="1"/>
  <c r="V16" i="2"/>
  <c r="W16" i="2" l="1"/>
  <c r="W17" i="2"/>
  <c r="X17" i="2" l="1"/>
  <c r="X16" i="2"/>
  <c r="Y16" i="2" l="1"/>
  <c r="Y17" i="2"/>
  <c r="Z17" i="2" l="1"/>
  <c r="Z16" i="2"/>
  <c r="AA16" i="2" l="1"/>
  <c r="AA17" i="2"/>
  <c r="AB17" i="2" l="1"/>
  <c r="AB16" i="2"/>
  <c r="AC16" i="2" l="1"/>
  <c r="AC17" i="2"/>
  <c r="AD17" i="2" l="1"/>
  <c r="AD16" i="2"/>
  <c r="AE16" i="2" l="1"/>
  <c r="AE17" i="2"/>
  <c r="AF17" i="2" s="1"/>
  <c r="AF16" i="2" l="1"/>
  <c r="AG16" i="2" l="1"/>
  <c r="AG17" i="2"/>
  <c r="AH17" i="2" l="1"/>
  <c r="AH16" i="2"/>
  <c r="AH13" i="2" l="1"/>
  <c r="AG13" i="2" s="1"/>
  <c r="AF13" i="2" s="1"/>
  <c r="AE13" i="2" s="1"/>
  <c r="AD13" i="2" s="1"/>
  <c r="AC13" i="2" s="1"/>
  <c r="AB13" i="2" s="1"/>
  <c r="AA13" i="2" s="1"/>
  <c r="Z13" i="2" s="1"/>
  <c r="Y13" i="2" s="1"/>
  <c r="X13" i="2" s="1"/>
  <c r="W13" i="2" s="1"/>
  <c r="V13" i="2" s="1"/>
  <c r="U13" i="2" s="1"/>
  <c r="T13" i="2" s="1"/>
  <c r="S13" i="2" s="1"/>
  <c r="R13" i="2" s="1"/>
  <c r="Q13" i="2" s="1"/>
  <c r="P13" i="2" s="1"/>
  <c r="O13" i="2" s="1"/>
  <c r="N13" i="2" s="1"/>
  <c r="M13" i="2" s="1"/>
  <c r="L13" i="2" s="1"/>
  <c r="K13" i="2" s="1"/>
  <c r="J13" i="2" s="1"/>
  <c r="I13" i="2" s="1"/>
  <c r="H13" i="2" s="1"/>
  <c r="G13" i="2" s="1"/>
  <c r="F13" i="2" s="1"/>
  <c r="AI16" i="2"/>
  <c r="AI17" i="2"/>
  <c r="E3" i="1" l="1"/>
  <c r="B14" i="1"/>
  <c r="AI11" i="1" l="1"/>
  <c r="E11" i="1"/>
  <c r="B2" i="1"/>
  <c r="B13" i="1" l="1"/>
  <c r="B15" i="1"/>
  <c r="F10" i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F16" i="1" l="1"/>
  <c r="E15" i="1"/>
  <c r="F15" i="1"/>
  <c r="F17" i="1" s="1"/>
  <c r="AH15" i="1"/>
  <c r="N15" i="1"/>
  <c r="V15" i="1"/>
  <c r="AD15" i="1"/>
  <c r="G15" i="1"/>
  <c r="W15" i="1"/>
  <c r="AE15" i="1"/>
  <c r="H15" i="1"/>
  <c r="P15" i="1"/>
  <c r="X15" i="1"/>
  <c r="AF15" i="1"/>
  <c r="I15" i="1"/>
  <c r="Q15" i="1"/>
  <c r="Y15" i="1"/>
  <c r="AG15" i="1"/>
  <c r="J15" i="1"/>
  <c r="R15" i="1"/>
  <c r="K15" i="1"/>
  <c r="L15" i="1"/>
  <c r="M15" i="1"/>
  <c r="O15" i="1"/>
  <c r="Z15" i="1"/>
  <c r="S15" i="1"/>
  <c r="T15" i="1"/>
  <c r="AB15" i="1"/>
  <c r="U15" i="1"/>
  <c r="AA15" i="1"/>
  <c r="AC15" i="1"/>
  <c r="G16" i="1" l="1"/>
  <c r="H16" i="1" s="1"/>
  <c r="I16" i="1" s="1"/>
  <c r="J16" i="1" s="1"/>
  <c r="K16" i="1" s="1"/>
  <c r="L16" i="1" s="1"/>
  <c r="M16" i="1" s="1"/>
  <c r="N16" i="1" s="1"/>
  <c r="O16" i="1" s="1"/>
  <c r="P16" i="1" s="1"/>
  <c r="Q16" i="1" s="1"/>
  <c r="R16" i="1" s="1"/>
  <c r="S16" i="1" s="1"/>
  <c r="T16" i="1" s="1"/>
  <c r="U16" i="1" s="1"/>
  <c r="V16" i="1" s="1"/>
  <c r="W16" i="1" s="1"/>
  <c r="X16" i="1" s="1"/>
  <c r="Y16" i="1" s="1"/>
  <c r="Z16" i="1" s="1"/>
  <c r="AA16" i="1" s="1"/>
  <c r="AB16" i="1" s="1"/>
  <c r="AC16" i="1" s="1"/>
  <c r="AD16" i="1" s="1"/>
  <c r="AE16" i="1" s="1"/>
  <c r="AF16" i="1" s="1"/>
  <c r="AG16" i="1" s="1"/>
  <c r="AH16" i="1" s="1"/>
  <c r="G17" i="1"/>
  <c r="H17" i="1" s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l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H13" i="1" s="1"/>
  <c r="AG13" i="1" s="1"/>
  <c r="AF13" i="1" s="1"/>
  <c r="AE13" i="1" s="1"/>
  <c r="AD13" i="1" s="1"/>
  <c r="AC13" i="1" s="1"/>
  <c r="AB13" i="1" s="1"/>
  <c r="AA13" i="1" s="1"/>
  <c r="Z13" i="1" s="1"/>
  <c r="Y13" i="1" s="1"/>
  <c r="X13" i="1" s="1"/>
  <c r="W13" i="1" s="1"/>
  <c r="V13" i="1" s="1"/>
  <c r="U13" i="1" s="1"/>
  <c r="T13" i="1" s="1"/>
  <c r="S13" i="1" s="1"/>
  <c r="R13" i="1" s="1"/>
  <c r="Q13" i="1" s="1"/>
  <c r="P13" i="1" s="1"/>
  <c r="O13" i="1" s="1"/>
  <c r="N13" i="1" s="1"/>
  <c r="M13" i="1" s="1"/>
  <c r="L13" i="1" s="1"/>
  <c r="K13" i="1" s="1"/>
  <c r="J13" i="1" s="1"/>
  <c r="I13" i="1" s="1"/>
  <c r="H13" i="1" s="1"/>
  <c r="G13" i="1" s="1"/>
  <c r="F13" i="1" s="1"/>
</calcChain>
</file>

<file path=xl/sharedStrings.xml><?xml version="1.0" encoding="utf-8"?>
<sst xmlns="http://schemas.openxmlformats.org/spreadsheetml/2006/main" count="39" uniqueCount="21">
  <si>
    <t>L</t>
  </si>
  <si>
    <t>dx</t>
  </si>
  <si>
    <t>dt</t>
  </si>
  <si>
    <t>t</t>
  </si>
  <si>
    <t>Cp</t>
  </si>
  <si>
    <t>r0</t>
  </si>
  <si>
    <t>lamda</t>
  </si>
  <si>
    <t>q</t>
  </si>
  <si>
    <t>A</t>
  </si>
  <si>
    <t>B</t>
  </si>
  <si>
    <t>C</t>
  </si>
  <si>
    <t>F</t>
  </si>
  <si>
    <t>ro</t>
  </si>
  <si>
    <t>T</t>
  </si>
  <si>
    <t>q_start</t>
  </si>
  <si>
    <t>Т</t>
  </si>
  <si>
    <t>Т_end</t>
  </si>
  <si>
    <t>Т_start</t>
  </si>
  <si>
    <t>T_iter</t>
  </si>
  <si>
    <t>α</t>
  </si>
  <si>
    <t>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</si>
</sst>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_ ;\-0.000\ 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88077404958527"/>
          <c:y val="0.13484757768536593"/>
          <c:w val="0.8089275425937611"/>
          <c:h val="0.7325584069554737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'ГУ 1ого рода'!$E$10:$AI$10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1ого рода'!$E$11:$AI$11</c:f>
              <c:numCache>
                <c:formatCode>General</c:formatCode>
                <c:ptCount val="31"/>
                <c:pt idx="0">
                  <c:v>300</c:v>
                </c:pt>
                <c:pt idx="1">
                  <c:v>293.33333301905566</c:v>
                </c:pt>
                <c:pt idx="2">
                  <c:v>286.66666604155466</c:v>
                </c:pt>
                <c:pt idx="3">
                  <c:v>279.99999907090245</c:v>
                </c:pt>
                <c:pt idx="4">
                  <c:v>273.33333211042964</c:v>
                </c:pt>
                <c:pt idx="5">
                  <c:v>266.66666516335522</c:v>
                </c:pt>
                <c:pt idx="6">
                  <c:v>259.99999823275141</c:v>
                </c:pt>
                <c:pt idx="7">
                  <c:v>253.33333132150992</c:v>
                </c:pt>
                <c:pt idx="8">
                  <c:v>246.66666443231037</c:v>
                </c:pt>
                <c:pt idx="9">
                  <c:v>239.99999756759092</c:v>
                </c:pt>
                <c:pt idx="10">
                  <c:v>233.33333072952144</c:v>
                </c:pt>
                <c:pt idx="11">
                  <c:v>226.66666391997987</c:v>
                </c:pt>
                <c:pt idx="12">
                  <c:v>219.99999714053155</c:v>
                </c:pt>
                <c:pt idx="13">
                  <c:v>213.33333039241217</c:v>
                </c:pt>
                <c:pt idx="14">
                  <c:v>206.66666367651413</c:v>
                </c:pt>
                <c:pt idx="15">
                  <c:v>199.99999699337681</c:v>
                </c:pt>
                <c:pt idx="16">
                  <c:v>193.33333034318073</c:v>
                </c:pt>
                <c:pt idx="17">
                  <c:v>186.66666372574537</c:v>
                </c:pt>
                <c:pt idx="18">
                  <c:v>179.99999714053138</c:v>
                </c:pt>
                <c:pt idx="19">
                  <c:v>173.3333305866463</c:v>
                </c:pt>
                <c:pt idx="20">
                  <c:v>166.66666406285452</c:v>
                </c:pt>
                <c:pt idx="21">
                  <c:v>159.99999756759061</c:v>
                </c:pt>
                <c:pt idx="22">
                  <c:v>153.33333109897674</c:v>
                </c:pt>
                <c:pt idx="23">
                  <c:v>146.66666465484295</c:v>
                </c:pt>
                <c:pt idx="24">
                  <c:v>139.99999823275112</c:v>
                </c:pt>
                <c:pt idx="25">
                  <c:v>133.33333183002162</c:v>
                </c:pt>
                <c:pt idx="26">
                  <c:v>126.66666544376275</c:v>
                </c:pt>
                <c:pt idx="27">
                  <c:v>119.99999907090225</c:v>
                </c:pt>
                <c:pt idx="28">
                  <c:v>113.33333270822115</c:v>
                </c:pt>
                <c:pt idx="29">
                  <c:v>106.66666635238893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198-4AF9-97FF-93DAFFF6C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871616"/>
        <c:axId val="168872192"/>
      </c:scatterChart>
      <c:valAx>
        <c:axId val="16887161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872192"/>
        <c:crosses val="autoZero"/>
        <c:crossBetween val="midCat"/>
      </c:valAx>
      <c:valAx>
        <c:axId val="16887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871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'ГУ 2ого рода '!$E$10:$AI$10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2ого рода '!$E$11:$AI$11</c:f>
              <c:numCache>
                <c:formatCode>General</c:formatCode>
                <c:ptCount val="31"/>
                <c:pt idx="0">
                  <c:v>299.99999939879791</c:v>
                </c:pt>
                <c:pt idx="1">
                  <c:v>293.33333273213123</c:v>
                </c:pt>
                <c:pt idx="2">
                  <c:v>286.66666607031857</c:v>
                </c:pt>
                <c:pt idx="3">
                  <c:v>279.99999940996162</c:v>
                </c:pt>
                <c:pt idx="4">
                  <c:v>273.33333275104491</c:v>
                </c:pt>
                <c:pt idx="5">
                  <c:v>266.66666609354957</c:v>
                </c:pt>
                <c:pt idx="6">
                  <c:v>259.9999994374532</c:v>
                </c:pt>
                <c:pt idx="7">
                  <c:v>253.33333278273</c:v>
                </c:pt>
                <c:pt idx="8">
                  <c:v>246.6666661293508</c:v>
                </c:pt>
                <c:pt idx="9">
                  <c:v>239.99999947728315</c:v>
                </c:pt>
                <c:pt idx="10">
                  <c:v>233.33333282649141</c:v>
                </c:pt>
                <c:pt idx="11">
                  <c:v>226.66666617693684</c:v>
                </c:pt>
                <c:pt idx="12">
                  <c:v>219.99999952857766</c:v>
                </c:pt>
                <c:pt idx="13">
                  <c:v>213.33333288136919</c:v>
                </c:pt>
                <c:pt idx="14">
                  <c:v>206.66666623526393</c:v>
                </c:pt>
                <c:pt idx="15">
                  <c:v>199.9999995902117</c:v>
                </c:pt>
                <c:pt idx="16">
                  <c:v>193.33333294615974</c:v>
                </c:pt>
                <c:pt idx="17">
                  <c:v>186.66666630305286</c:v>
                </c:pt>
                <c:pt idx="18">
                  <c:v>179.99999966083348</c:v>
                </c:pt>
                <c:pt idx="19">
                  <c:v>173.33333301944202</c:v>
                </c:pt>
                <c:pt idx="20">
                  <c:v>166.66666637881673</c:v>
                </c:pt>
                <c:pt idx="21">
                  <c:v>159.99999973889408</c:v>
                </c:pt>
                <c:pt idx="22">
                  <c:v>153.33333309960878</c:v>
                </c:pt>
                <c:pt idx="23">
                  <c:v>146.66666646089396</c:v>
                </c:pt>
                <c:pt idx="24">
                  <c:v>139.99999982268139</c:v>
                </c:pt>
                <c:pt idx="25">
                  <c:v>133.33333318490162</c:v>
                </c:pt>
                <c:pt idx="26">
                  <c:v>126.66666654748417</c:v>
                </c:pt>
                <c:pt idx="27">
                  <c:v>119.99999991035762</c:v>
                </c:pt>
                <c:pt idx="28">
                  <c:v>113.33333327344991</c:v>
                </c:pt>
                <c:pt idx="29">
                  <c:v>106.66666663668836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099-44B9-884E-FB1DF1EC0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875072"/>
        <c:axId val="168875648"/>
      </c:scatterChart>
      <c:valAx>
        <c:axId val="16887507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;\-0.00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875648"/>
        <c:crosses val="autoZero"/>
        <c:crossBetween val="midCat"/>
      </c:valAx>
      <c:valAx>
        <c:axId val="16887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875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510540</xdr:colOff>
      <xdr:row>17</xdr:row>
      <xdr:rowOff>99060</xdr:rowOff>
    </xdr:from>
    <xdr:to>
      <xdr:col>6</xdr:col>
      <xdr:colOff>30480</xdr:colOff>
      <xdr:row>33</xdr:row>
      <xdr:rowOff>106680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0.84302</cdr:x>
      <cdr:y>0.78203</cdr:y>
    </cdr:from>
    <cdr:to>
      <cdr:x>1</cdr:x>
      <cdr:y>0.8987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314701" y="2294238"/>
          <a:ext cx="617219" cy="3422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>
              <a:latin typeface="Arial Black" pitchFamily="34" charset="0"/>
            </a:rPr>
            <a:t>L,</a:t>
          </a:r>
          <a:r>
            <a:rPr lang="en-US" sz="1400" baseline="0">
              <a:latin typeface="Arial Black" pitchFamily="34" charset="0"/>
            </a:rPr>
            <a:t> </a:t>
          </a:r>
          <a:r>
            <a:rPr lang="ru-RU" sz="1400" baseline="0">
              <a:latin typeface="Arial Black" pitchFamily="34" charset="0"/>
            </a:rPr>
            <a:t>м</a:t>
          </a:r>
          <a:endParaRPr lang="ru-RU" sz="1400">
            <a:latin typeface="Arial Black" pitchFamily="34" charset="0"/>
          </a:endParaRPr>
        </a:p>
      </cdr:txBody>
    </cdr:sp>
  </cdr:relSizeAnchor>
  <cdr:relSizeAnchor xmlns:cdr="http://schemas.openxmlformats.org/drawingml/2006/chartDrawing">
    <cdr:from>
      <cdr:x>0.12306</cdr:x>
      <cdr:y>0.01105</cdr:y>
    </cdr:from>
    <cdr:to>
      <cdr:x>0.24746</cdr:x>
      <cdr:y>0.11764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693420" y="41095"/>
          <a:ext cx="701040" cy="3962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0.00811</cdr:x>
      <cdr:y>0.0172</cdr:y>
    </cdr:from>
    <cdr:to>
      <cdr:x>0.12576</cdr:x>
      <cdr:y>0.10944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5720" y="63955"/>
          <a:ext cx="662940" cy="342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ru-RU" sz="1400">
              <a:latin typeface="Arial Black" pitchFamily="34" charset="0"/>
            </a:rPr>
            <a:t>Т,</a:t>
          </a:r>
          <a:r>
            <a:rPr lang="ru-RU" sz="1400" baseline="0">
              <a:latin typeface="Arial Black" pitchFamily="34" charset="0"/>
            </a:rPr>
            <a:t> К</a:t>
          </a:r>
          <a:endParaRPr lang="ru-RU" sz="1400">
            <a:latin typeface="Arial Black" pitchFamily="34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17</xdr:row>
      <xdr:rowOff>163830</xdr:rowOff>
    </xdr:from>
    <xdr:to>
      <xdr:col>10</xdr:col>
      <xdr:colOff>312420</xdr:colOff>
      <xdr:row>32</xdr:row>
      <xdr:rowOff>163830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365760</xdr:colOff>
      <xdr:row>30</xdr:row>
      <xdr:rowOff>15240</xdr:rowOff>
    </xdr:from>
    <xdr:ext cx="533672" cy="345544"/>
    <xdr:sp macro="" textlink="">
      <xdr:nvSpPr>
        <xdr:cNvPr id="2" name="TextBox 1"/>
        <xdr:cNvSpPr txBox="1"/>
      </xdr:nvSpPr>
      <xdr:spPr>
        <a:xfrm>
          <a:off x="6781800" y="5600700"/>
          <a:ext cx="533672" cy="345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latin typeface="Arial Black" pitchFamily="34" charset="0"/>
            </a:rPr>
            <a:t>L,M</a:t>
          </a:r>
          <a:endParaRPr lang="ru-RU" sz="1400">
            <a:latin typeface="Arial Black" pitchFamily="34" charset="0"/>
          </a:endParaRPr>
        </a:p>
      </xdr:txBody>
    </xdr:sp>
    <xdr:clientData/>
  </xdr:oneCellAnchor>
  <xdr:oneCellAnchor>
    <xdr:from>
      <xdr:col>3</xdr:col>
      <xdr:colOff>205740</xdr:colOff>
      <xdr:row>17</xdr:row>
      <xdr:rowOff>83820</xdr:rowOff>
    </xdr:from>
    <xdr:ext cx="662940" cy="350520"/>
    <xdr:sp macro="" textlink="">
      <xdr:nvSpPr>
        <xdr:cNvPr id="4" name="TextBox 3"/>
        <xdr:cNvSpPr txBox="1"/>
      </xdr:nvSpPr>
      <xdr:spPr>
        <a:xfrm>
          <a:off x="2964180" y="3291840"/>
          <a:ext cx="662940" cy="3505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latin typeface="Arial Black" pitchFamily="34" charset="0"/>
            </a:rPr>
            <a:t>T,K</a:t>
          </a:r>
          <a:endParaRPr lang="ru-RU" sz="1400">
            <a:latin typeface="Arial Black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Красный и оранжевый">
      <a:dk1>
        <a:sysClr val="windowText" lastClr="000000"/>
      </a:dk1>
      <a:lt1>
        <a:sysClr val="window" lastClr="FFFFFF"/>
      </a:lt1>
      <a:dk2>
        <a:srgbClr val="505046"/>
      </a:dk2>
      <a:lt2>
        <a:srgbClr val="EEECE1"/>
      </a:lt2>
      <a:accent1>
        <a:srgbClr val="E84C22"/>
      </a:accent1>
      <a:accent2>
        <a:srgbClr val="FFBD47"/>
      </a:accent2>
      <a:accent3>
        <a:srgbClr val="B64926"/>
      </a:accent3>
      <a:accent4>
        <a:srgbClr val="FF8427"/>
      </a:accent4>
      <a:accent5>
        <a:srgbClr val="CC9900"/>
      </a:accent5>
      <a:accent6>
        <a:srgbClr val="B22600"/>
      </a:accent6>
      <a:hlink>
        <a:srgbClr val="CC9900"/>
      </a:hlink>
      <a:folHlink>
        <a:srgbClr val="666699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I17"/>
  <sheetViews>
    <sheetView zoomScaleNormal="100" workbookViewId="0">
      <selection activeCell="I20" sqref="I20"/>
    </sheetView>
  </sheetViews>
  <sheetFormatPr defaultRowHeight="14.4" x14ac:dyDescent="0.3"/>
  <cols>
    <col min="2" max="2" width="12.33203125" bestFit="1" customWidth="1"/>
    <col min="5" max="6" width="12.6640625" bestFit="1" customWidth="1"/>
    <col min="7" max="33" width="7.44140625" bestFit="1" customWidth="1"/>
    <col min="34" max="34" width="13" bestFit="1" customWidth="1"/>
    <col min="35" max="35" width="7.44140625" bestFit="1" customWidth="1"/>
  </cols>
  <sheetData>
    <row r="1" spans="1:35" ht="15" x14ac:dyDescent="0.25">
      <c r="A1" s="1" t="s">
        <v>0</v>
      </c>
      <c r="B1" s="1">
        <v>0.1</v>
      </c>
    </row>
    <row r="2" spans="1:35" ht="15" x14ac:dyDescent="0.25">
      <c r="A2" s="1" t="s">
        <v>1</v>
      </c>
      <c r="B2" s="1">
        <f>B1/30</f>
        <v>3.3333333333333335E-3</v>
      </c>
      <c r="C2" s="3"/>
      <c r="D2" s="3"/>
      <c r="E2" s="3"/>
    </row>
    <row r="3" spans="1:35" ht="15" x14ac:dyDescent="0.25">
      <c r="A3" s="1" t="s">
        <v>2</v>
      </c>
      <c r="B3" s="1">
        <v>30</v>
      </c>
      <c r="C3" s="3"/>
      <c r="D3" s="3"/>
      <c r="E3" s="3">
        <f>(B7*B6*B2^2)/(2*B8)</f>
        <v>0.4333333333333334</v>
      </c>
    </row>
    <row r="4" spans="1:35" ht="15" x14ac:dyDescent="0.25">
      <c r="A4" s="1" t="s">
        <v>3</v>
      </c>
      <c r="B4" s="1">
        <v>60</v>
      </c>
      <c r="C4" s="3">
        <v>90</v>
      </c>
      <c r="D4" s="3"/>
      <c r="E4" s="3"/>
    </row>
    <row r="5" spans="1:35" x14ac:dyDescent="0.3">
      <c r="A5" s="3"/>
      <c r="B5" s="3"/>
    </row>
    <row r="6" spans="1:35" ht="15" x14ac:dyDescent="0.25">
      <c r="A6" s="1" t="s">
        <v>4</v>
      </c>
      <c r="B6" s="1">
        <v>460</v>
      </c>
    </row>
    <row r="7" spans="1:35" ht="15" x14ac:dyDescent="0.25">
      <c r="A7" s="1" t="s">
        <v>5</v>
      </c>
      <c r="B7" s="1">
        <v>7800</v>
      </c>
    </row>
    <row r="8" spans="1:35" ht="15" x14ac:dyDescent="0.25">
      <c r="A8" s="1" t="s">
        <v>6</v>
      </c>
      <c r="B8" s="1">
        <v>46</v>
      </c>
    </row>
    <row r="9" spans="1:35" ht="15" x14ac:dyDescent="0.25">
      <c r="A9" s="3"/>
      <c r="B9" s="3"/>
      <c r="D9" s="1"/>
      <c r="E9" s="1">
        <v>1</v>
      </c>
      <c r="F9" s="1">
        <v>2</v>
      </c>
      <c r="G9" s="1">
        <v>3</v>
      </c>
      <c r="H9" s="1">
        <v>4</v>
      </c>
      <c r="I9" s="1">
        <v>5</v>
      </c>
      <c r="J9" s="1">
        <v>6</v>
      </c>
      <c r="K9" s="1">
        <v>7</v>
      </c>
      <c r="L9" s="1">
        <v>8</v>
      </c>
      <c r="M9" s="1">
        <v>9</v>
      </c>
      <c r="N9" s="1">
        <v>10</v>
      </c>
      <c r="O9" s="1">
        <v>11</v>
      </c>
      <c r="P9" s="1">
        <v>12</v>
      </c>
      <c r="Q9" s="1">
        <v>13</v>
      </c>
      <c r="R9" s="1">
        <v>14</v>
      </c>
      <c r="S9" s="1">
        <v>15</v>
      </c>
      <c r="T9" s="1">
        <v>16</v>
      </c>
      <c r="U9" s="1">
        <v>17</v>
      </c>
      <c r="V9" s="1">
        <v>18</v>
      </c>
      <c r="W9" s="1">
        <v>19</v>
      </c>
      <c r="X9" s="1">
        <v>20</v>
      </c>
      <c r="Y9" s="1">
        <v>21</v>
      </c>
      <c r="Z9" s="1">
        <v>22</v>
      </c>
      <c r="AA9" s="1">
        <v>23</v>
      </c>
      <c r="AB9" s="1">
        <v>24</v>
      </c>
      <c r="AC9" s="1">
        <v>25</v>
      </c>
      <c r="AD9" s="1">
        <v>26</v>
      </c>
      <c r="AE9" s="1">
        <v>27</v>
      </c>
      <c r="AF9" s="1">
        <v>28</v>
      </c>
      <c r="AG9" s="1">
        <v>29</v>
      </c>
      <c r="AH9" s="1">
        <v>30</v>
      </c>
      <c r="AI9" s="1">
        <v>31</v>
      </c>
    </row>
    <row r="10" spans="1:35" x14ac:dyDescent="0.3">
      <c r="A10" s="1" t="s">
        <v>17</v>
      </c>
      <c r="B10" s="1">
        <v>300</v>
      </c>
      <c r="D10" s="1" t="s">
        <v>0</v>
      </c>
      <c r="E10" s="2">
        <v>0</v>
      </c>
      <c r="F10" s="2">
        <f>E10+$B$2</f>
        <v>3.3333333333333335E-3</v>
      </c>
      <c r="G10" s="2">
        <f t="shared" ref="G10:AI10" si="0">F10+$B$2</f>
        <v>6.6666666666666671E-3</v>
      </c>
      <c r="H10" s="2">
        <f t="shared" si="0"/>
        <v>0.01</v>
      </c>
      <c r="I10" s="2">
        <f t="shared" si="0"/>
        <v>1.3333333333333334E-2</v>
      </c>
      <c r="J10" s="2">
        <f t="shared" si="0"/>
        <v>1.6666666666666666E-2</v>
      </c>
      <c r="K10" s="2">
        <f t="shared" si="0"/>
        <v>0.02</v>
      </c>
      <c r="L10" s="2">
        <f t="shared" si="0"/>
        <v>2.3333333333333334E-2</v>
      </c>
      <c r="M10" s="2">
        <f t="shared" si="0"/>
        <v>2.6666666666666668E-2</v>
      </c>
      <c r="N10" s="2">
        <f t="shared" si="0"/>
        <v>3.0000000000000002E-2</v>
      </c>
      <c r="O10" s="2">
        <f t="shared" si="0"/>
        <v>3.3333333333333333E-2</v>
      </c>
      <c r="P10" s="2">
        <f t="shared" si="0"/>
        <v>3.6666666666666667E-2</v>
      </c>
      <c r="Q10" s="2">
        <f t="shared" si="0"/>
        <v>0.04</v>
      </c>
      <c r="R10" s="2">
        <f t="shared" si="0"/>
        <v>4.3333333333333335E-2</v>
      </c>
      <c r="S10" s="2">
        <f t="shared" si="0"/>
        <v>4.6666666666666669E-2</v>
      </c>
      <c r="T10" s="2">
        <f t="shared" si="0"/>
        <v>0.05</v>
      </c>
      <c r="U10" s="2">
        <f t="shared" si="0"/>
        <v>5.3333333333333337E-2</v>
      </c>
      <c r="V10" s="2">
        <f t="shared" si="0"/>
        <v>5.6666666666666671E-2</v>
      </c>
      <c r="W10" s="2">
        <f t="shared" si="0"/>
        <v>6.0000000000000005E-2</v>
      </c>
      <c r="X10" s="2">
        <f t="shared" si="0"/>
        <v>6.3333333333333339E-2</v>
      </c>
      <c r="Y10" s="2">
        <f t="shared" si="0"/>
        <v>6.6666666666666666E-2</v>
      </c>
      <c r="Z10" s="2">
        <f t="shared" si="0"/>
        <v>6.9999999999999993E-2</v>
      </c>
      <c r="AA10" s="2">
        <f t="shared" si="0"/>
        <v>7.333333333333332E-2</v>
      </c>
      <c r="AB10" s="2">
        <f t="shared" si="0"/>
        <v>7.6666666666666647E-2</v>
      </c>
      <c r="AC10" s="2">
        <f t="shared" si="0"/>
        <v>7.9999999999999974E-2</v>
      </c>
      <c r="AD10" s="2">
        <f t="shared" si="0"/>
        <v>8.3333333333333301E-2</v>
      </c>
      <c r="AE10" s="2">
        <f t="shared" si="0"/>
        <v>8.6666666666666628E-2</v>
      </c>
      <c r="AF10" s="2">
        <f t="shared" si="0"/>
        <v>8.9999999999999955E-2</v>
      </c>
      <c r="AG10" s="2">
        <f t="shared" si="0"/>
        <v>9.3333333333333282E-2</v>
      </c>
      <c r="AH10" s="2">
        <f t="shared" si="0"/>
        <v>9.6666666666666609E-2</v>
      </c>
      <c r="AI10" s="2">
        <f t="shared" si="0"/>
        <v>9.9999999999999936E-2</v>
      </c>
    </row>
    <row r="11" spans="1:35" x14ac:dyDescent="0.3">
      <c r="A11" s="1" t="s">
        <v>16</v>
      </c>
      <c r="B11" s="1">
        <v>100</v>
      </c>
      <c r="D11" s="1" t="s">
        <v>15</v>
      </c>
      <c r="E11" s="1">
        <f>B10</f>
        <v>300</v>
      </c>
      <c r="F11" s="1">
        <v>293.33333301905566</v>
      </c>
      <c r="G11" s="1">
        <v>286.66666604155466</v>
      </c>
      <c r="H11" s="1">
        <v>279.99999907090245</v>
      </c>
      <c r="I11" s="1">
        <v>273.33333211042964</v>
      </c>
      <c r="J11" s="1">
        <v>266.66666516335522</v>
      </c>
      <c r="K11" s="1">
        <v>259.99999823275141</v>
      </c>
      <c r="L11" s="1">
        <v>253.33333132150992</v>
      </c>
      <c r="M11" s="1">
        <v>246.66666443231037</v>
      </c>
      <c r="N11" s="1">
        <v>239.99999756759092</v>
      </c>
      <c r="O11" s="1">
        <v>233.33333072952144</v>
      </c>
      <c r="P11" s="1">
        <v>226.66666391997987</v>
      </c>
      <c r="Q11" s="1">
        <v>219.99999714053155</v>
      </c>
      <c r="R11" s="1">
        <v>213.33333039241217</v>
      </c>
      <c r="S11" s="1">
        <v>206.66666367651413</v>
      </c>
      <c r="T11" s="1">
        <v>199.99999699337681</v>
      </c>
      <c r="U11" s="1">
        <v>193.33333034318073</v>
      </c>
      <c r="V11" s="1">
        <v>186.66666372574537</v>
      </c>
      <c r="W11" s="1">
        <v>179.99999714053138</v>
      </c>
      <c r="X11" s="1">
        <v>173.3333305866463</v>
      </c>
      <c r="Y11" s="1">
        <v>166.66666406285452</v>
      </c>
      <c r="Z11" s="1">
        <v>159.99999756759061</v>
      </c>
      <c r="AA11" s="1">
        <v>153.33333109897674</v>
      </c>
      <c r="AB11" s="1">
        <v>146.66666465484295</v>
      </c>
      <c r="AC11" s="1">
        <v>139.99999823275112</v>
      </c>
      <c r="AD11" s="1">
        <v>133.33333183002162</v>
      </c>
      <c r="AE11" s="1">
        <v>126.66666544376275</v>
      </c>
      <c r="AF11" s="1">
        <v>119.99999907090225</v>
      </c>
      <c r="AG11" s="1">
        <v>113.33333270822115</v>
      </c>
      <c r="AH11" s="1">
        <v>106.66666635238893</v>
      </c>
      <c r="AI11" s="1">
        <f>B11</f>
        <v>100</v>
      </c>
    </row>
    <row r="12" spans="1:35" x14ac:dyDescent="0.3">
      <c r="A12" s="3"/>
      <c r="B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</row>
    <row r="13" spans="1:35" x14ac:dyDescent="0.3">
      <c r="A13" s="1" t="s">
        <v>8</v>
      </c>
      <c r="B13" s="1">
        <f>B8/B2^2</f>
        <v>4139999.9999999991</v>
      </c>
      <c r="D13" s="1" t="s">
        <v>18</v>
      </c>
      <c r="E13" s="1"/>
      <c r="F13" s="1">
        <f>F16*G13+F17</f>
        <v>293.33333310547266</v>
      </c>
      <c r="G13" s="1">
        <f t="shared" ref="G13:AF13" si="1">G16*H13+G17</f>
        <v>286.66666621344183</v>
      </c>
      <c r="H13" s="1">
        <f t="shared" si="1"/>
        <v>279.99999932637655</v>
      </c>
      <c r="I13" s="1">
        <f t="shared" si="1"/>
        <v>273.33333244669166</v>
      </c>
      <c r="J13" s="1">
        <f t="shared" si="1"/>
        <v>266.66666557672102</v>
      </c>
      <c r="K13" s="1">
        <f t="shared" si="1"/>
        <v>259.99999871869204</v>
      </c>
      <c r="L13" s="1">
        <f t="shared" si="1"/>
        <v>253.33333187470129</v>
      </c>
      <c r="M13" s="1">
        <f t="shared" si="1"/>
        <v>246.66666504669163</v>
      </c>
      <c r="N13" s="1">
        <f t="shared" si="1"/>
        <v>239.9999982364308</v>
      </c>
      <c r="O13" s="1">
        <f t="shared" si="1"/>
        <v>233.33333144549195</v>
      </c>
      <c r="P13" s="1">
        <f t="shared" si="1"/>
        <v>226.66666467523669</v>
      </c>
      <c r="Q13" s="1">
        <f t="shared" si="1"/>
        <v>219.99999792679995</v>
      </c>
      <c r="R13" s="1">
        <f t="shared" si="1"/>
        <v>213.33333120107761</v>
      </c>
      <c r="S13" s="1">
        <f t="shared" si="1"/>
        <v>206.66666449871673</v>
      </c>
      <c r="T13" s="1">
        <f t="shared" si="1"/>
        <v>199.99999782010832</v>
      </c>
      <c r="U13" s="1">
        <f t="shared" si="1"/>
        <v>193.3333311653833</v>
      </c>
      <c r="V13" s="1">
        <f t="shared" si="1"/>
        <v>186.66666453441081</v>
      </c>
      <c r="W13" s="1">
        <f t="shared" si="1"/>
        <v>179.99999792679975</v>
      </c>
      <c r="X13" s="1">
        <f t="shared" si="1"/>
        <v>173.33333134190309</v>
      </c>
      <c r="Y13" s="1">
        <f t="shared" si="1"/>
        <v>166.66666477882498</v>
      </c>
      <c r="Z13" s="1">
        <f t="shared" si="1"/>
        <v>159.99999823643046</v>
      </c>
      <c r="AA13" s="1">
        <f t="shared" si="1"/>
        <v>153.33333171335801</v>
      </c>
      <c r="AB13" s="1">
        <f t="shared" si="1"/>
        <v>146.66666520803432</v>
      </c>
      <c r="AC13" s="1">
        <f t="shared" si="1"/>
        <v>139.99999871869173</v>
      </c>
      <c r="AD13" s="1">
        <f t="shared" si="1"/>
        <v>133.33333224338739</v>
      </c>
      <c r="AE13" s="1">
        <f t="shared" si="1"/>
        <v>126.66666578002474</v>
      </c>
      <c r="AF13" s="1">
        <f t="shared" si="1"/>
        <v>119.99999932637633</v>
      </c>
      <c r="AG13" s="1">
        <f>AG16*AH13+AG17</f>
        <v>113.3333328801083</v>
      </c>
      <c r="AH13" s="1">
        <f>AH16*AI13+AH17</f>
        <v>106.6666664388059</v>
      </c>
      <c r="AI13" s="1">
        <v>100</v>
      </c>
    </row>
    <row r="14" spans="1:35" ht="15" x14ac:dyDescent="0.25">
      <c r="A14" s="1" t="s">
        <v>9</v>
      </c>
      <c r="B14" s="1">
        <f>(2*B8)/(B2^2)+(B7*B6)/B3</f>
        <v>8399599.9999999981</v>
      </c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</row>
    <row r="15" spans="1:35" ht="15" x14ac:dyDescent="0.25">
      <c r="A15" s="1" t="s">
        <v>10</v>
      </c>
      <c r="B15" s="1">
        <f>B8/B2^2</f>
        <v>4139999.9999999991</v>
      </c>
      <c r="D15" s="1" t="s">
        <v>11</v>
      </c>
      <c r="E15" s="1">
        <f t="shared" ref="E15:AH15" si="2">-$B$7*$B$6*E11/$B$3</f>
        <v>-35880000</v>
      </c>
      <c r="F15" s="1">
        <f t="shared" si="2"/>
        <v>-35082666.629079059</v>
      </c>
      <c r="G15" s="1">
        <f t="shared" si="2"/>
        <v>-34285333.258569933</v>
      </c>
      <c r="H15" s="1">
        <f t="shared" si="2"/>
        <v>-33487999.888879932</v>
      </c>
      <c r="I15" s="1">
        <f t="shared" si="2"/>
        <v>-32690666.520407382</v>
      </c>
      <c r="J15" s="1">
        <f t="shared" si="2"/>
        <v>-31893333.153537285</v>
      </c>
      <c r="K15" s="1">
        <f t="shared" si="2"/>
        <v>-31095999.788637068</v>
      </c>
      <c r="L15" s="1">
        <f t="shared" si="2"/>
        <v>-30298666.426052585</v>
      </c>
      <c r="M15" s="1">
        <f t="shared" si="2"/>
        <v>-29501333.066104319</v>
      </c>
      <c r="N15" s="1">
        <f t="shared" si="2"/>
        <v>-28703999.709083874</v>
      </c>
      <c r="O15" s="1">
        <f t="shared" si="2"/>
        <v>-27906666.355250765</v>
      </c>
      <c r="P15" s="1">
        <f t="shared" si="2"/>
        <v>-27109333.004829593</v>
      </c>
      <c r="Q15" s="1">
        <f t="shared" si="2"/>
        <v>-26311999.658007573</v>
      </c>
      <c r="R15" s="1">
        <f t="shared" si="2"/>
        <v>-25514666.314932492</v>
      </c>
      <c r="S15" s="1">
        <f t="shared" si="2"/>
        <v>-24717332.975711092</v>
      </c>
      <c r="T15" s="1">
        <f t="shared" si="2"/>
        <v>-23919999.640407868</v>
      </c>
      <c r="U15" s="1">
        <f t="shared" si="2"/>
        <v>-23122666.309044417</v>
      </c>
      <c r="V15" s="1">
        <f t="shared" si="2"/>
        <v>-22325332.981599145</v>
      </c>
      <c r="W15" s="1">
        <f t="shared" si="2"/>
        <v>-21527999.658007555</v>
      </c>
      <c r="X15" s="1">
        <f t="shared" si="2"/>
        <v>-20730666.338162899</v>
      </c>
      <c r="Y15" s="1">
        <f t="shared" si="2"/>
        <v>-19933333.021917403</v>
      </c>
      <c r="Z15" s="1">
        <f t="shared" si="2"/>
        <v>-19135999.709083837</v>
      </c>
      <c r="AA15" s="1">
        <f t="shared" si="2"/>
        <v>-18338666.399437618</v>
      </c>
      <c r="AB15" s="1">
        <f t="shared" si="2"/>
        <v>-17541333.092719216</v>
      </c>
      <c r="AC15" s="1">
        <f t="shared" si="2"/>
        <v>-16743999.788637035</v>
      </c>
      <c r="AD15" s="1">
        <f t="shared" si="2"/>
        <v>-15946666.486870585</v>
      </c>
      <c r="AE15" s="1">
        <f t="shared" si="2"/>
        <v>-15149333.187074026</v>
      </c>
      <c r="AF15" s="1">
        <f t="shared" si="2"/>
        <v>-14351999.888879908</v>
      </c>
      <c r="AG15" s="1">
        <f t="shared" si="2"/>
        <v>-13554666.591903249</v>
      </c>
      <c r="AH15" s="1">
        <f t="shared" si="2"/>
        <v>-12757333.295745717</v>
      </c>
      <c r="AI15" s="1"/>
    </row>
    <row r="16" spans="1:35" x14ac:dyDescent="0.3">
      <c r="D16" s="4" t="s">
        <v>19</v>
      </c>
      <c r="E16" s="1">
        <v>0</v>
      </c>
      <c r="F16" s="1">
        <f>$B$13/($B$14-$B$15*E16)</f>
        <v>0.49288061336254108</v>
      </c>
      <c r="G16" s="1">
        <f t="shared" ref="G16:AH16" si="3">$B$13/($B$14-$B$15*F16)</f>
        <v>0.6510381590602613</v>
      </c>
      <c r="H16" s="1">
        <f t="shared" si="3"/>
        <v>0.72576802287166231</v>
      </c>
      <c r="I16" s="1">
        <f t="shared" si="3"/>
        <v>0.76738852556043757</v>
      </c>
      <c r="J16" s="1">
        <f t="shared" si="3"/>
        <v>0.79270686641858257</v>
      </c>
      <c r="K16" s="1">
        <f t="shared" si="3"/>
        <v>0.80894235785897017</v>
      </c>
      <c r="L16" s="1">
        <f t="shared" si="3"/>
        <v>0.81970805651274514</v>
      </c>
      <c r="M16" s="1">
        <f t="shared" si="3"/>
        <v>0.82700616253973736</v>
      </c>
      <c r="N16" s="1">
        <f t="shared" si="3"/>
        <v>0.83202793257342833</v>
      </c>
      <c r="O16" s="1">
        <f t="shared" si="3"/>
        <v>0.83551894204862565</v>
      </c>
      <c r="P16" s="1">
        <f t="shared" si="3"/>
        <v>0.83796311667454249</v>
      </c>
      <c r="Q16" s="1">
        <f t="shared" si="3"/>
        <v>0.8396828948798809</v>
      </c>
      <c r="R16" s="1">
        <f t="shared" si="3"/>
        <v>0.84089720791671796</v>
      </c>
      <c r="S16" s="1">
        <f t="shared" si="3"/>
        <v>0.84175673619336178</v>
      </c>
      <c r="T16" s="1">
        <f t="shared" si="3"/>
        <v>0.84236619969341997</v>
      </c>
      <c r="U16" s="1">
        <f t="shared" si="3"/>
        <v>0.84279888543729231</v>
      </c>
      <c r="V16" s="1">
        <f t="shared" si="3"/>
        <v>0.84310633854929817</v>
      </c>
      <c r="W16" s="1">
        <f t="shared" si="3"/>
        <v>0.84332494158698379</v>
      </c>
      <c r="X16" s="1">
        <f t="shared" si="3"/>
        <v>0.84348044006887213</v>
      </c>
      <c r="Y16" s="1">
        <f t="shared" si="3"/>
        <v>0.84359108541484018</v>
      </c>
      <c r="Z16" s="1">
        <f t="shared" si="3"/>
        <v>0.84366983307405941</v>
      </c>
      <c r="AA16" s="1">
        <f t="shared" si="3"/>
        <v>0.84372588771153978</v>
      </c>
      <c r="AB16" s="1">
        <f t="shared" si="3"/>
        <v>0.84376579340275815</v>
      </c>
      <c r="AC16" s="1">
        <f t="shared" si="3"/>
        <v>0.84379420484570489</v>
      </c>
      <c r="AD16" s="1">
        <f t="shared" si="3"/>
        <v>0.84381443395586153</v>
      </c>
      <c r="AE16" s="1">
        <f t="shared" si="3"/>
        <v>0.84382883778936368</v>
      </c>
      <c r="AF16" s="1">
        <f t="shared" si="3"/>
        <v>0.84383909412200464</v>
      </c>
      <c r="AG16" s="1">
        <f t="shared" si="3"/>
        <v>0.8438463973547321</v>
      </c>
      <c r="AH16" s="1">
        <f t="shared" si="3"/>
        <v>0.84385159784895081</v>
      </c>
      <c r="AI16" s="1"/>
    </row>
    <row r="17" spans="4:35" x14ac:dyDescent="0.3">
      <c r="D17" s="4" t="s">
        <v>20</v>
      </c>
      <c r="E17" s="1">
        <v>300</v>
      </c>
      <c r="F17" s="1">
        <f>(E17*$B$15-F15)/($B$14-$B$15*E16)</f>
        <v>152.04089083159664</v>
      </c>
      <c r="G17" s="1">
        <f>(F17*$B$15-G15)/($B$14-$B$15*F16)</f>
        <v>104.37598211512322</v>
      </c>
      <c r="H17" s="1">
        <f t="shared" ref="H17:AH17" si="4">(G17*$B$15-H15)/($B$14-$B$15*G16)</f>
        <v>81.623407051618372</v>
      </c>
      <c r="I17" s="1">
        <f t="shared" si="4"/>
        <v>68.696393133653444</v>
      </c>
      <c r="J17" s="1">
        <f t="shared" si="4"/>
        <v>60.562881323591185</v>
      </c>
      <c r="K17" s="1">
        <f t="shared" si="4"/>
        <v>55.06793590770215</v>
      </c>
      <c r="L17" s="1">
        <f t="shared" si="4"/>
        <v>51.138679262797396</v>
      </c>
      <c r="M17" s="1">
        <f t="shared" si="4"/>
        <v>48.185187495637287</v>
      </c>
      <c r="N17" s="1">
        <f t="shared" si="4"/>
        <v>45.860148873367613</v>
      </c>
      <c r="O17" s="1">
        <f t="shared" si="4"/>
        <v>43.949039578347595</v>
      </c>
      <c r="P17" s="1">
        <f t="shared" si="4"/>
        <v>42.314780744102521</v>
      </c>
      <c r="Q17" s="1">
        <f t="shared" si="4"/>
        <v>40.867648809510669</v>
      </c>
      <c r="R17" s="1">
        <f t="shared" si="4"/>
        <v>39.547910054645619</v>
      </c>
      <c r="S17" s="1">
        <f t="shared" si="4"/>
        <v>38.315319094982861</v>
      </c>
      <c r="T17" s="1">
        <f t="shared" si="4"/>
        <v>37.142534372254957</v>
      </c>
      <c r="U17" s="1">
        <f t="shared" si="4"/>
        <v>36.010874347484943</v>
      </c>
      <c r="V17" s="1">
        <f t="shared" si="4"/>
        <v>34.907525343465416</v>
      </c>
      <c r="W17" s="1">
        <f t="shared" si="4"/>
        <v>33.823676397812015</v>
      </c>
      <c r="X17" s="1">
        <f t="shared" si="4"/>
        <v>32.753259589448625</v>
      </c>
      <c r="Y17" s="1">
        <f t="shared" si="4"/>
        <v>31.6920926001821</v>
      </c>
      <c r="Z17" s="1">
        <f t="shared" si="4"/>
        <v>30.637291865132351</v>
      </c>
      <c r="AA17" s="1">
        <f t="shared" si="4"/>
        <v>29.586869413018043</v>
      </c>
      <c r="AB17" s="1">
        <f t="shared" si="4"/>
        <v>28.539455212772275</v>
      </c>
      <c r="AC17" s="1">
        <f t="shared" si="4"/>
        <v>27.494105658954471</v>
      </c>
      <c r="AD17" s="1">
        <f t="shared" si="4"/>
        <v>26.450171357139503</v>
      </c>
      <c r="AE17" s="1">
        <f t="shared" si="4"/>
        <v>25.407205813724183</v>
      </c>
      <c r="AF17" s="1">
        <f t="shared" si="4"/>
        <v>24.364902374998145</v>
      </c>
      <c r="AG17" s="1">
        <f t="shared" si="4"/>
        <v>23.323050687883029</v>
      </c>
      <c r="AH17" s="1">
        <f t="shared" si="4"/>
        <v>22.281506653910824</v>
      </c>
      <c r="AI17" s="1"/>
    </row>
  </sheetData>
  <conditionalFormatting sqref="E11:AI11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I17"/>
  <sheetViews>
    <sheetView tabSelected="1" topLeftCell="A10" workbookViewId="0">
      <selection activeCell="O24" sqref="O24"/>
    </sheetView>
  </sheetViews>
  <sheetFormatPr defaultRowHeight="14.4" x14ac:dyDescent="0.3"/>
  <cols>
    <col min="2" max="2" width="13.6640625" customWidth="1"/>
    <col min="3" max="3" width="17.6640625" customWidth="1"/>
  </cols>
  <sheetData>
    <row r="1" spans="1:35" ht="15" x14ac:dyDescent="0.25">
      <c r="A1" s="1" t="s">
        <v>0</v>
      </c>
      <c r="B1" s="2">
        <v>0.1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</row>
    <row r="2" spans="1:35" ht="15" x14ac:dyDescent="0.25">
      <c r="A2" s="1" t="s">
        <v>1</v>
      </c>
      <c r="B2" s="2">
        <f>B1/30</f>
        <v>3.3333333333333335E-3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</row>
    <row r="3" spans="1:35" ht="15" x14ac:dyDescent="0.25">
      <c r="A3" s="1" t="s">
        <v>2</v>
      </c>
      <c r="B3" s="2">
        <v>2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</row>
    <row r="4" spans="1:35" ht="15" x14ac:dyDescent="0.25">
      <c r="A4" s="1" t="s">
        <v>3</v>
      </c>
      <c r="B4" s="2">
        <v>5000</v>
      </c>
      <c r="C4" s="3">
        <v>5002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</row>
    <row r="5" spans="1:35" ht="15" x14ac:dyDescent="0.25">
      <c r="A5" s="3"/>
      <c r="B5" s="5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</row>
    <row r="6" spans="1:35" ht="15" x14ac:dyDescent="0.25">
      <c r="A6" s="1" t="s">
        <v>4</v>
      </c>
      <c r="B6" s="6">
        <v>460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</row>
    <row r="7" spans="1:35" ht="15" x14ac:dyDescent="0.25">
      <c r="A7" s="1" t="s">
        <v>12</v>
      </c>
      <c r="B7" s="6">
        <v>7800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</row>
    <row r="8" spans="1:35" ht="15" x14ac:dyDescent="0.25">
      <c r="A8" s="1" t="s">
        <v>6</v>
      </c>
      <c r="B8" s="6">
        <v>46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</row>
    <row r="9" spans="1:35" ht="15" x14ac:dyDescent="0.25">
      <c r="A9" s="3"/>
      <c r="B9" s="5"/>
      <c r="C9" s="3"/>
      <c r="D9" s="3"/>
      <c r="E9" s="7">
        <v>1</v>
      </c>
      <c r="F9" s="7">
        <v>2</v>
      </c>
      <c r="G9" s="7">
        <v>3</v>
      </c>
      <c r="H9" s="7">
        <v>4</v>
      </c>
      <c r="I9" s="7">
        <v>5</v>
      </c>
      <c r="J9" s="7">
        <v>6</v>
      </c>
      <c r="K9" s="7">
        <v>7</v>
      </c>
      <c r="L9" s="7">
        <v>8</v>
      </c>
      <c r="M9" s="7">
        <v>9</v>
      </c>
      <c r="N9" s="7">
        <v>10</v>
      </c>
      <c r="O9" s="7">
        <v>11</v>
      </c>
      <c r="P9" s="7">
        <v>12</v>
      </c>
      <c r="Q9" s="7">
        <v>13</v>
      </c>
      <c r="R9" s="7">
        <v>14</v>
      </c>
      <c r="S9" s="7">
        <v>15</v>
      </c>
      <c r="T9" s="7">
        <v>16</v>
      </c>
      <c r="U9" s="7">
        <v>17</v>
      </c>
      <c r="V9" s="7">
        <v>18</v>
      </c>
      <c r="W9" s="7">
        <v>19</v>
      </c>
      <c r="X9" s="7">
        <v>20</v>
      </c>
      <c r="Y9" s="7">
        <v>21</v>
      </c>
      <c r="Z9" s="7">
        <v>22</v>
      </c>
      <c r="AA9" s="7">
        <v>23</v>
      </c>
      <c r="AB9" s="7">
        <v>24</v>
      </c>
      <c r="AC9" s="7">
        <v>25</v>
      </c>
      <c r="AD9" s="7">
        <v>26</v>
      </c>
      <c r="AE9" s="7">
        <v>27</v>
      </c>
      <c r="AF9" s="7">
        <v>28</v>
      </c>
      <c r="AG9" s="7">
        <v>29</v>
      </c>
      <c r="AH9" s="7">
        <v>30</v>
      </c>
      <c r="AI9" s="7">
        <v>31</v>
      </c>
    </row>
    <row r="10" spans="1:35" x14ac:dyDescent="0.3">
      <c r="A10" s="1" t="s">
        <v>17</v>
      </c>
      <c r="B10" s="2">
        <v>300</v>
      </c>
      <c r="C10" s="3"/>
      <c r="D10" s="1" t="s">
        <v>0</v>
      </c>
      <c r="E10" s="8">
        <v>0</v>
      </c>
      <c r="F10" s="8">
        <f t="shared" ref="F10:AI10" si="0">E10+$B$2</f>
        <v>3.3333333333333335E-3</v>
      </c>
      <c r="G10" s="8">
        <f t="shared" si="0"/>
        <v>6.6666666666666671E-3</v>
      </c>
      <c r="H10" s="8">
        <f t="shared" si="0"/>
        <v>0.01</v>
      </c>
      <c r="I10" s="8">
        <f t="shared" si="0"/>
        <v>1.3333333333333334E-2</v>
      </c>
      <c r="J10" s="8">
        <f t="shared" si="0"/>
        <v>1.6666666666666666E-2</v>
      </c>
      <c r="K10" s="8">
        <f t="shared" si="0"/>
        <v>0.02</v>
      </c>
      <c r="L10" s="8">
        <f t="shared" si="0"/>
        <v>2.3333333333333334E-2</v>
      </c>
      <c r="M10" s="8">
        <f t="shared" si="0"/>
        <v>2.6666666666666668E-2</v>
      </c>
      <c r="N10" s="8">
        <f t="shared" si="0"/>
        <v>3.0000000000000002E-2</v>
      </c>
      <c r="O10" s="8">
        <f t="shared" si="0"/>
        <v>3.3333333333333333E-2</v>
      </c>
      <c r="P10" s="8">
        <f t="shared" si="0"/>
        <v>3.6666666666666667E-2</v>
      </c>
      <c r="Q10" s="8">
        <f t="shared" si="0"/>
        <v>0.04</v>
      </c>
      <c r="R10" s="8">
        <f t="shared" si="0"/>
        <v>4.3333333333333335E-2</v>
      </c>
      <c r="S10" s="8">
        <f t="shared" si="0"/>
        <v>4.6666666666666669E-2</v>
      </c>
      <c r="T10" s="8">
        <f t="shared" si="0"/>
        <v>0.05</v>
      </c>
      <c r="U10" s="8">
        <f t="shared" si="0"/>
        <v>5.3333333333333337E-2</v>
      </c>
      <c r="V10" s="8">
        <f t="shared" si="0"/>
        <v>5.6666666666666671E-2</v>
      </c>
      <c r="W10" s="8">
        <f t="shared" si="0"/>
        <v>6.0000000000000005E-2</v>
      </c>
      <c r="X10" s="8">
        <f t="shared" si="0"/>
        <v>6.3333333333333339E-2</v>
      </c>
      <c r="Y10" s="8">
        <f t="shared" si="0"/>
        <v>6.6666666666666666E-2</v>
      </c>
      <c r="Z10" s="8">
        <f t="shared" si="0"/>
        <v>6.9999999999999993E-2</v>
      </c>
      <c r="AA10" s="8">
        <f t="shared" si="0"/>
        <v>7.333333333333332E-2</v>
      </c>
      <c r="AB10" s="8">
        <f t="shared" si="0"/>
        <v>7.6666666666666647E-2</v>
      </c>
      <c r="AC10" s="8">
        <f t="shared" si="0"/>
        <v>7.9999999999999974E-2</v>
      </c>
      <c r="AD10" s="8">
        <f t="shared" si="0"/>
        <v>8.3333333333333301E-2</v>
      </c>
      <c r="AE10" s="8">
        <f t="shared" si="0"/>
        <v>8.6666666666666628E-2</v>
      </c>
      <c r="AF10" s="8">
        <f t="shared" si="0"/>
        <v>8.9999999999999955E-2</v>
      </c>
      <c r="AG10" s="8">
        <f t="shared" si="0"/>
        <v>9.3333333333333282E-2</v>
      </c>
      <c r="AH10" s="8">
        <f t="shared" si="0"/>
        <v>9.6666666666666609E-2</v>
      </c>
      <c r="AI10" s="8">
        <f t="shared" si="0"/>
        <v>9.9999999999999936E-2</v>
      </c>
    </row>
    <row r="11" spans="1:35" x14ac:dyDescent="0.3">
      <c r="A11" s="1" t="s">
        <v>16</v>
      </c>
      <c r="B11" s="2">
        <v>100</v>
      </c>
      <c r="C11" s="3"/>
      <c r="D11" s="1" t="s">
        <v>13</v>
      </c>
      <c r="E11" s="1">
        <f>E14/B8*B2+F11</f>
        <v>299.99999939879791</v>
      </c>
      <c r="F11" s="1">
        <v>293.33333273213123</v>
      </c>
      <c r="G11" s="1">
        <v>286.66666607031857</v>
      </c>
      <c r="H11" s="1">
        <v>279.99999940996162</v>
      </c>
      <c r="I11" s="1">
        <v>273.33333275104491</v>
      </c>
      <c r="J11" s="1">
        <v>266.66666609354957</v>
      </c>
      <c r="K11" s="1">
        <v>259.9999994374532</v>
      </c>
      <c r="L11" s="1">
        <v>253.33333278273</v>
      </c>
      <c r="M11" s="1">
        <v>246.6666661293508</v>
      </c>
      <c r="N11" s="1">
        <v>239.99999947728315</v>
      </c>
      <c r="O11" s="1">
        <v>233.33333282649141</v>
      </c>
      <c r="P11" s="1">
        <v>226.66666617693684</v>
      </c>
      <c r="Q11" s="1">
        <v>219.99999952857766</v>
      </c>
      <c r="R11" s="1">
        <v>213.33333288136919</v>
      </c>
      <c r="S11" s="1">
        <v>206.66666623526393</v>
      </c>
      <c r="T11" s="1">
        <v>199.9999995902117</v>
      </c>
      <c r="U11" s="1">
        <v>193.33333294615974</v>
      </c>
      <c r="V11" s="1">
        <v>186.66666630305286</v>
      </c>
      <c r="W11" s="1">
        <v>179.99999966083348</v>
      </c>
      <c r="X11" s="1">
        <v>173.33333301944202</v>
      </c>
      <c r="Y11" s="1">
        <v>166.66666637881673</v>
      </c>
      <c r="Z11" s="1">
        <v>159.99999973889408</v>
      </c>
      <c r="AA11" s="1">
        <v>153.33333309960878</v>
      </c>
      <c r="AB11" s="1">
        <v>146.66666646089396</v>
      </c>
      <c r="AC11" s="1">
        <v>139.99999982268139</v>
      </c>
      <c r="AD11" s="1">
        <v>133.33333318490162</v>
      </c>
      <c r="AE11" s="1">
        <v>126.66666654748417</v>
      </c>
      <c r="AF11" s="1">
        <v>119.99999991035762</v>
      </c>
      <c r="AG11" s="1">
        <v>113.33333327344991</v>
      </c>
      <c r="AH11" s="1">
        <v>106.66666663668836</v>
      </c>
      <c r="AI11" s="1">
        <v>100</v>
      </c>
    </row>
    <row r="12" spans="1:35" ht="15" x14ac:dyDescent="0.25">
      <c r="A12" s="9" t="s">
        <v>8</v>
      </c>
      <c r="B12" s="1">
        <f>$B$8/($B$2^2)</f>
        <v>4139999.9999999991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</row>
    <row r="13" spans="1:35" ht="15" x14ac:dyDescent="0.25">
      <c r="A13" s="9" t="s">
        <v>9</v>
      </c>
      <c r="B13" s="1">
        <f>(2*$B$8)/($B$2^2)+($B$7*$B$6)/$B$3</f>
        <v>10073999.999999998</v>
      </c>
      <c r="C13" s="3"/>
      <c r="D13" s="1" t="s">
        <v>18</v>
      </c>
      <c r="E13" s="1"/>
      <c r="F13" s="1">
        <f>F16*G13+F17</f>
        <v>293.33333273549874</v>
      </c>
      <c r="G13" s="1">
        <f t="shared" ref="G13:AH13" si="1">G16*H13+G17</f>
        <v>286.66666607365892</v>
      </c>
      <c r="H13" s="1">
        <f t="shared" si="1"/>
        <v>279.99999941326655</v>
      </c>
      <c r="I13" s="1">
        <f t="shared" si="1"/>
        <v>273.33333275430647</v>
      </c>
      <c r="J13" s="1">
        <f t="shared" si="1"/>
        <v>266.66666609675974</v>
      </c>
      <c r="K13" s="1">
        <f t="shared" si="1"/>
        <v>259.9999994406042</v>
      </c>
      <c r="L13" s="1">
        <f t="shared" si="1"/>
        <v>253.33333278581412</v>
      </c>
      <c r="M13" s="1">
        <f t="shared" si="1"/>
        <v>246.66666613236049</v>
      </c>
      <c r="N13" s="1">
        <f t="shared" si="1"/>
        <v>239.9999994802111</v>
      </c>
      <c r="O13" s="1">
        <f t="shared" si="1"/>
        <v>233.33333282933043</v>
      </c>
      <c r="P13" s="1">
        <f t="shared" si="1"/>
        <v>226.66666617968002</v>
      </c>
      <c r="Q13" s="1">
        <f t="shared" si="1"/>
        <v>219.99999953121829</v>
      </c>
      <c r="R13" s="1">
        <f t="shared" si="1"/>
        <v>213.33333288390082</v>
      </c>
      <c r="S13" s="1">
        <f t="shared" si="1"/>
        <v>206.6666662376804</v>
      </c>
      <c r="T13" s="1">
        <f t="shared" si="1"/>
        <v>199.99999959250709</v>
      </c>
      <c r="U13" s="1">
        <f t="shared" si="1"/>
        <v>193.33333294832843</v>
      </c>
      <c r="V13" s="1">
        <f t="shared" si="1"/>
        <v>186.66666630508956</v>
      </c>
      <c r="W13" s="1">
        <f t="shared" si="1"/>
        <v>179.99999966273327</v>
      </c>
      <c r="X13" s="1">
        <f t="shared" si="1"/>
        <v>173.33333302120025</v>
      </c>
      <c r="Y13" s="1">
        <f t="shared" si="1"/>
        <v>166.66666638042909</v>
      </c>
      <c r="Z13" s="1">
        <f t="shared" si="1"/>
        <v>159.99999974035666</v>
      </c>
      <c r="AA13" s="1">
        <f t="shared" si="1"/>
        <v>153.33333310091797</v>
      </c>
      <c r="AB13" s="1">
        <f t="shared" si="1"/>
        <v>146.66666646204658</v>
      </c>
      <c r="AC13" s="1">
        <f t="shared" si="1"/>
        <v>139.99999982367461</v>
      </c>
      <c r="AD13" s="1">
        <f t="shared" si="1"/>
        <v>133.33333318573304</v>
      </c>
      <c r="AE13" s="1">
        <f t="shared" si="1"/>
        <v>126.66666654815175</v>
      </c>
      <c r="AF13" s="1">
        <f t="shared" si="1"/>
        <v>119.99999991085974</v>
      </c>
      <c r="AG13" s="1">
        <f t="shared" si="1"/>
        <v>113.33333327378534</v>
      </c>
      <c r="AH13" s="1">
        <f t="shared" si="1"/>
        <v>106.66666663685628</v>
      </c>
      <c r="AI13" s="1">
        <v>100</v>
      </c>
    </row>
    <row r="14" spans="1:35" ht="15" x14ac:dyDescent="0.25">
      <c r="A14" s="9" t="s">
        <v>10</v>
      </c>
      <c r="B14" s="1">
        <f>$B$8/($B$2^2)</f>
        <v>4139999.9999999991</v>
      </c>
      <c r="C14" s="3"/>
      <c r="D14" s="1" t="s">
        <v>7</v>
      </c>
      <c r="E14" s="1">
        <v>92000</v>
      </c>
      <c r="F14" s="6">
        <f t="shared" ref="F14:AH14" si="2">-$B$8*(F11-E11)/$B$2</f>
        <v>92000.000000000262</v>
      </c>
      <c r="G14" s="6">
        <f t="shared" si="2"/>
        <v>91999.999933014638</v>
      </c>
      <c r="H14" s="6">
        <f t="shared" si="2"/>
        <v>91999.999912925938</v>
      </c>
      <c r="I14" s="6">
        <f t="shared" si="2"/>
        <v>91999.999893050597</v>
      </c>
      <c r="J14" s="6">
        <f t="shared" si="2"/>
        <v>91999.999873435707</v>
      </c>
      <c r="K14" s="6">
        <f t="shared" si="2"/>
        <v>91999.99985412987</v>
      </c>
      <c r="L14" s="6">
        <f t="shared" si="2"/>
        <v>91999.999835180177</v>
      </c>
      <c r="M14" s="6">
        <f t="shared" si="2"/>
        <v>91999.999816632888</v>
      </c>
      <c r="N14" s="6">
        <f t="shared" si="2"/>
        <v>91999.999798533521</v>
      </c>
      <c r="O14" s="6">
        <f t="shared" si="2"/>
        <v>91999.999780926009</v>
      </c>
      <c r="P14" s="6">
        <f t="shared" si="2"/>
        <v>91999.999763853077</v>
      </c>
      <c r="Q14" s="6">
        <f t="shared" si="2"/>
        <v>91999.99974735672</v>
      </c>
      <c r="R14" s="6">
        <f t="shared" si="2"/>
        <v>91999.999731476913</v>
      </c>
      <c r="S14" s="6">
        <f t="shared" si="2"/>
        <v>91999.999716252525</v>
      </c>
      <c r="T14" s="6">
        <f t="shared" si="2"/>
        <v>91999.999701720793</v>
      </c>
      <c r="U14" s="6">
        <f t="shared" si="2"/>
        <v>91999.999687917007</v>
      </c>
      <c r="V14" s="6">
        <f t="shared" si="2"/>
        <v>91999.999674874925</v>
      </c>
      <c r="W14" s="6">
        <f t="shared" si="2"/>
        <v>91999.999662627481</v>
      </c>
      <c r="X14" s="6">
        <f t="shared" si="2"/>
        <v>91999.999651202117</v>
      </c>
      <c r="Y14" s="6">
        <f t="shared" si="2"/>
        <v>91999.999640629059</v>
      </c>
      <c r="Z14" s="6">
        <f t="shared" si="2"/>
        <v>91999.999630932609</v>
      </c>
      <c r="AA14" s="6">
        <f t="shared" si="2"/>
        <v>91999.999622137082</v>
      </c>
      <c r="AB14" s="6">
        <f t="shared" si="2"/>
        <v>91999.999614264452</v>
      </c>
      <c r="AC14" s="6">
        <f t="shared" si="2"/>
        <v>91999.999607333535</v>
      </c>
      <c r="AD14" s="6">
        <f t="shared" si="2"/>
        <v>91999.999601360818</v>
      </c>
      <c r="AE14" s="6">
        <f t="shared" si="2"/>
        <v>91999.999596360794</v>
      </c>
      <c r="AF14" s="6">
        <f t="shared" si="2"/>
        <v>91999.99959234643</v>
      </c>
      <c r="AG14" s="6">
        <f t="shared" si="2"/>
        <v>91999.99958932634</v>
      </c>
      <c r="AH14" s="6">
        <f t="shared" si="2"/>
        <v>91999.999587309358</v>
      </c>
      <c r="AI14" s="1"/>
    </row>
    <row r="15" spans="1:35" ht="15" x14ac:dyDescent="0.25">
      <c r="A15" s="3"/>
      <c r="B15" s="3"/>
      <c r="C15" s="3"/>
      <c r="D15" s="1" t="s">
        <v>11</v>
      </c>
      <c r="E15" s="1">
        <f t="shared" ref="E15:AI15" si="3">-($B$7*$B$6)/$B$3*E11</f>
        <v>-538199998.92144346</v>
      </c>
      <c r="F15" s="1">
        <f t="shared" si="3"/>
        <v>-526239998.9214434</v>
      </c>
      <c r="G15" s="1">
        <f t="shared" si="3"/>
        <v>-514279998.93015152</v>
      </c>
      <c r="H15" s="1">
        <f t="shared" si="3"/>
        <v>-502319998.94147116</v>
      </c>
      <c r="I15" s="1">
        <f t="shared" si="3"/>
        <v>-490359998.95537454</v>
      </c>
      <c r="J15" s="1">
        <f t="shared" si="3"/>
        <v>-478399998.97182792</v>
      </c>
      <c r="K15" s="1">
        <f t="shared" si="3"/>
        <v>-466439998.99079102</v>
      </c>
      <c r="L15" s="1">
        <f t="shared" si="3"/>
        <v>-454479999.01221764</v>
      </c>
      <c r="M15" s="1">
        <f t="shared" si="3"/>
        <v>-442519999.03605533</v>
      </c>
      <c r="N15" s="1">
        <f t="shared" si="3"/>
        <v>-430559999.06224597</v>
      </c>
      <c r="O15" s="1">
        <f t="shared" si="3"/>
        <v>-418599999.0907256</v>
      </c>
      <c r="P15" s="1">
        <f t="shared" si="3"/>
        <v>-406639999.12142467</v>
      </c>
      <c r="Q15" s="1">
        <f t="shared" si="3"/>
        <v>-394679999.15426832</v>
      </c>
      <c r="R15" s="1">
        <f t="shared" si="3"/>
        <v>-382719999.18917632</v>
      </c>
      <c r="S15" s="1">
        <f t="shared" si="3"/>
        <v>-370759999.22606349</v>
      </c>
      <c r="T15" s="1">
        <f t="shared" si="3"/>
        <v>-358799999.26483977</v>
      </c>
      <c r="U15" s="1">
        <f t="shared" si="3"/>
        <v>-346839999.30541056</v>
      </c>
      <c r="V15" s="1">
        <f t="shared" si="3"/>
        <v>-334879999.34767681</v>
      </c>
      <c r="W15" s="1">
        <f t="shared" si="3"/>
        <v>-322919999.39153528</v>
      </c>
      <c r="X15" s="1">
        <f t="shared" si="3"/>
        <v>-310959999.43687898</v>
      </c>
      <c r="Y15" s="1">
        <f t="shared" si="3"/>
        <v>-298999999.48359722</v>
      </c>
      <c r="Z15" s="1">
        <f t="shared" si="3"/>
        <v>-287039999.53157598</v>
      </c>
      <c r="AA15" s="1">
        <f t="shared" si="3"/>
        <v>-275079999.58069813</v>
      </c>
      <c r="AB15" s="1">
        <f t="shared" si="3"/>
        <v>-263119999.63084376</v>
      </c>
      <c r="AC15" s="1">
        <f t="shared" si="3"/>
        <v>-251159999.6818904</v>
      </c>
      <c r="AD15" s="1">
        <f t="shared" si="3"/>
        <v>-239199999.73371351</v>
      </c>
      <c r="AE15" s="1">
        <f t="shared" si="3"/>
        <v>-227239999.78618661</v>
      </c>
      <c r="AF15" s="1">
        <f t="shared" si="3"/>
        <v>-215279999.83918157</v>
      </c>
      <c r="AG15" s="1">
        <f t="shared" si="3"/>
        <v>-203319999.89256912</v>
      </c>
      <c r="AH15" s="1">
        <f t="shared" si="3"/>
        <v>-191359999.94621891</v>
      </c>
      <c r="AI15" s="1">
        <f t="shared" si="3"/>
        <v>-179400000</v>
      </c>
    </row>
    <row r="16" spans="1:35" x14ac:dyDescent="0.3">
      <c r="A16" s="1" t="s">
        <v>14</v>
      </c>
      <c r="B16" s="2">
        <v>92000</v>
      </c>
      <c r="C16" s="3"/>
      <c r="D16" s="4" t="s">
        <v>19</v>
      </c>
      <c r="E16" s="1">
        <v>0</v>
      </c>
      <c r="F16" s="1">
        <f t="shared" ref="F16:AI16" si="4">$B$12/($B$13-$B$14*E16)</f>
        <v>0.41095890410958902</v>
      </c>
      <c r="G16" s="1">
        <f t="shared" si="4"/>
        <v>0.49446827726349057</v>
      </c>
      <c r="H16" s="1">
        <f t="shared" si="4"/>
        <v>0.51576565211146774</v>
      </c>
      <c r="I16" s="1">
        <f t="shared" si="4"/>
        <v>0.52149397895713612</v>
      </c>
      <c r="J16" s="1">
        <f t="shared" si="4"/>
        <v>0.52305649933975962</v>
      </c>
      <c r="K16" s="1">
        <f t="shared" si="4"/>
        <v>0.52348433598989241</v>
      </c>
      <c r="L16" s="1">
        <f t="shared" si="4"/>
        <v>0.52360160483419294</v>
      </c>
      <c r="M16" s="1">
        <f t="shared" si="4"/>
        <v>0.52363375707534621</v>
      </c>
      <c r="N16" s="1">
        <f t="shared" si="4"/>
        <v>0.52364257312109652</v>
      </c>
      <c r="O16" s="1">
        <f t="shared" si="4"/>
        <v>0.5236449905056163</v>
      </c>
      <c r="P16" s="1">
        <f t="shared" si="4"/>
        <v>0.52364565336314417</v>
      </c>
      <c r="Q16" s="1">
        <f t="shared" si="4"/>
        <v>0.52364583512190344</v>
      </c>
      <c r="R16" s="1">
        <f t="shared" si="4"/>
        <v>0.52364588496106157</v>
      </c>
      <c r="S16" s="1">
        <f t="shared" si="4"/>
        <v>0.52364589862720901</v>
      </c>
      <c r="T16" s="1">
        <f t="shared" si="4"/>
        <v>0.52364590237453534</v>
      </c>
      <c r="U16" s="1">
        <f t="shared" si="4"/>
        <v>0.52364590340207107</v>
      </c>
      <c r="V16" s="1">
        <f t="shared" si="4"/>
        <v>0.52364590368382657</v>
      </c>
      <c r="W16" s="1">
        <f t="shared" si="4"/>
        <v>0.52364590376108522</v>
      </c>
      <c r="X16" s="1">
        <f t="shared" si="4"/>
        <v>0.52364590378227005</v>
      </c>
      <c r="Y16" s="1">
        <f t="shared" si="4"/>
        <v>0.52364590378807896</v>
      </c>
      <c r="Z16" s="1">
        <f t="shared" si="4"/>
        <v>0.5236459037896718</v>
      </c>
      <c r="AA16" s="1">
        <f t="shared" si="4"/>
        <v>0.52364590379010867</v>
      </c>
      <c r="AB16" s="1">
        <f t="shared" si="4"/>
        <v>0.52364590379022846</v>
      </c>
      <c r="AC16" s="1">
        <f t="shared" si="4"/>
        <v>0.52364590379026121</v>
      </c>
      <c r="AD16" s="1">
        <f t="shared" si="4"/>
        <v>0.52364590379027021</v>
      </c>
      <c r="AE16" s="1">
        <f t="shared" si="4"/>
        <v>0.52364590379027265</v>
      </c>
      <c r="AF16" s="1">
        <f t="shared" si="4"/>
        <v>0.52364590379027331</v>
      </c>
      <c r="AG16" s="1">
        <f t="shared" si="4"/>
        <v>0.52364590379027354</v>
      </c>
      <c r="AH16" s="1">
        <f t="shared" si="4"/>
        <v>0.52364590379027354</v>
      </c>
      <c r="AI16" s="1">
        <f t="shared" si="4"/>
        <v>0.52364590379027354</v>
      </c>
    </row>
    <row r="17" spans="1:35" x14ac:dyDescent="0.3">
      <c r="A17" s="1" t="s">
        <v>16</v>
      </c>
      <c r="B17" s="2">
        <v>100</v>
      </c>
      <c r="C17" s="3"/>
      <c r="D17" s="4" t="s">
        <v>20</v>
      </c>
      <c r="E17" s="1">
        <f>E11</f>
        <v>299.99999939879791</v>
      </c>
      <c r="F17" s="1">
        <f t="shared" ref="F17:AI17" si="5">(E17*$B$14-F15)/($B$13-$B$14*E16)</f>
        <v>175.52511380111841</v>
      </c>
      <c r="G17" s="1">
        <f t="shared" si="5"/>
        <v>148.21554873000261</v>
      </c>
      <c r="H17" s="1">
        <f t="shared" si="5"/>
        <v>139.02405480144091</v>
      </c>
      <c r="I17" s="1">
        <f t="shared" si="5"/>
        <v>134.2682719962732</v>
      </c>
      <c r="J17" s="1">
        <f t="shared" si="5"/>
        <v>130.67197656101789</v>
      </c>
      <c r="K17" s="1">
        <f t="shared" si="5"/>
        <v>127.38396794311586</v>
      </c>
      <c r="L17" s="1">
        <f t="shared" si="5"/>
        <v>124.17827053981011</v>
      </c>
      <c r="M17" s="1">
        <f t="shared" si="5"/>
        <v>120.99456470645643</v>
      </c>
      <c r="N17" s="1">
        <f t="shared" si="5"/>
        <v>117.81673268253928</v>
      </c>
      <c r="O17" s="1">
        <f t="shared" si="5"/>
        <v>114.64046856973219</v>
      </c>
      <c r="P17" s="1">
        <f t="shared" si="5"/>
        <v>111.46462268526379</v>
      </c>
      <c r="Q17" s="1">
        <f t="shared" si="5"/>
        <v>108.28888827388901</v>
      </c>
      <c r="R17" s="1">
        <f t="shared" si="5"/>
        <v>105.1131835499183</v>
      </c>
      <c r="S17" s="1">
        <f t="shared" si="5"/>
        <v>101.93748672562059</v>
      </c>
      <c r="T17" s="1">
        <f t="shared" si="5"/>
        <v>98.761792001703157</v>
      </c>
      <c r="U17" s="1">
        <f t="shared" si="5"/>
        <v>95.586097835946873</v>
      </c>
      <c r="V17" s="1">
        <f t="shared" si="5"/>
        <v>92.41040381860914</v>
      </c>
      <c r="W17" s="1">
        <f t="shared" si="5"/>
        <v>89.234709840925717</v>
      </c>
      <c r="X17" s="1">
        <f t="shared" si="5"/>
        <v>86.059015874042373</v>
      </c>
      <c r="Y17" s="1">
        <f t="shared" si="5"/>
        <v>82.883321910297639</v>
      </c>
      <c r="Z17" s="1">
        <f t="shared" si="5"/>
        <v>79.707627947643658</v>
      </c>
      <c r="AA17" s="1">
        <f t="shared" si="5"/>
        <v>76.531933985517171</v>
      </c>
      <c r="AB17" s="1">
        <f t="shared" si="5"/>
        <v>73.356240023746651</v>
      </c>
      <c r="AC17" s="1">
        <f t="shared" si="5"/>
        <v>70.180546062263403</v>
      </c>
      <c r="AD17" s="1">
        <f t="shared" si="5"/>
        <v>67.004852101025335</v>
      </c>
      <c r="AE17" s="1">
        <f t="shared" si="5"/>
        <v>63.829158139996963</v>
      </c>
      <c r="AF17" s="1">
        <f t="shared" si="5"/>
        <v>60.653464179144166</v>
      </c>
      <c r="AG17" s="1">
        <f t="shared" si="5"/>
        <v>57.477770218432916</v>
      </c>
      <c r="AH17" s="1">
        <f t="shared" si="5"/>
        <v>54.302076257828922</v>
      </c>
      <c r="AI17" s="1">
        <f t="shared" si="5"/>
        <v>51.126382297297702</v>
      </c>
    </row>
  </sheetData>
  <conditionalFormatting sqref="E11:AI1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ГУ 1ого рода</vt:lpstr>
      <vt:lpstr>ГУ 2ого рода 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Моргунова</dc:creator>
  <cp:lastModifiedBy>HP</cp:lastModifiedBy>
  <dcterms:created xsi:type="dcterms:W3CDTF">2021-05-16T16:14:29Z</dcterms:created>
  <dcterms:modified xsi:type="dcterms:W3CDTF">2021-05-20T18:50:03Z</dcterms:modified>
</cp:coreProperties>
</file>