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0496" windowHeight="7668" activeTab="1"/>
  </bookViews>
  <sheets>
    <sheet name="Явная схема" sheetId="1" r:id="rId1"/>
    <sheet name="Неявная схема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9" i="2" l="1"/>
  <c r="C18" i="2"/>
  <c r="F19" i="2"/>
  <c r="G19" i="2" s="1"/>
  <c r="C17" i="2"/>
  <c r="G18" i="2"/>
  <c r="H18" i="2" s="1"/>
  <c r="K15" i="1"/>
  <c r="O15" i="1"/>
  <c r="S15" i="1"/>
  <c r="W15" i="1"/>
  <c r="AA15" i="1"/>
  <c r="AE15" i="1"/>
  <c r="AI15" i="1"/>
  <c r="AJ13" i="1"/>
  <c r="F13" i="1"/>
  <c r="C4" i="1"/>
  <c r="N2" i="1" s="1"/>
  <c r="AG15" i="1" l="1"/>
  <c r="AC15" i="1"/>
  <c r="Y15" i="1"/>
  <c r="U15" i="1"/>
  <c r="Q15" i="1"/>
  <c r="M15" i="1"/>
  <c r="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/>
  <c r="AF15" i="1"/>
  <c r="AB15" i="1"/>
  <c r="X15" i="1"/>
  <c r="T15" i="1"/>
  <c r="P15" i="1"/>
  <c r="L15" i="1"/>
  <c r="H15" i="1"/>
  <c r="AH15" i="1"/>
  <c r="AD15" i="1"/>
  <c r="Z15" i="1"/>
  <c r="V15" i="1"/>
  <c r="R15" i="1"/>
  <c r="N15" i="1"/>
  <c r="J15" i="1"/>
  <c r="G15" i="2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s="1"/>
  <c r="AG18" i="2" l="1"/>
  <c r="AG19" i="2"/>
  <c r="AG15" i="2" l="1"/>
  <c r="AH19" i="2"/>
  <c r="AH18" i="2"/>
  <c r="AH15" i="2" s="1"/>
  <c r="AI18" i="2" l="1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<sst xmlns="http://schemas.openxmlformats.org/spreadsheetml/2006/main" count="30" uniqueCount="17">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</sst>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92576"/>
        <c:axId val="139193152"/>
      </c:scatterChart>
      <c:valAx>
        <c:axId val="1391925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193152"/>
        <c:crosses val="autoZero"/>
        <c:crossBetween val="midCat"/>
      </c:valAx>
      <c:valAx>
        <c:axId val="139193152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19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11776"/>
        <c:axId val="139197184"/>
      </c:scatterChart>
      <c:valAx>
        <c:axId val="42611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197184"/>
        <c:crosses val="autoZero"/>
        <c:crossBetween val="midCat"/>
      </c:valAx>
      <c:valAx>
        <c:axId val="13919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1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371474</xdr:colOff>
      <xdr:row>17</xdr:row>
      <xdr:rowOff>152400</xdr:rowOff>
    </xdr:from>
    <xdr:to>
      <xdr:col>16</xdr:col>
      <xdr:colOff>19049</xdr:colOff>
      <xdr:row>36</xdr:row>
      <xdr:rowOff>9525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457200</xdr:colOff>
      <xdr:row>18</xdr:row>
      <xdr:rowOff>38100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295274</xdr:colOff>
      <xdr:row>22</xdr:row>
      <xdr:rowOff>95250</xdr:rowOff>
    </xdr:from>
    <xdr:to>
      <xdr:col>32</xdr:col>
      <xdr:colOff>104774</xdr:colOff>
      <xdr:row>40</xdr:row>
      <xdr:rowOff>133350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361950</xdr:colOff>
      <xdr:row>20</xdr:row>
      <xdr:rowOff>171450</xdr:rowOff>
    </xdr:from>
    <xdr:ext cx="504825" cy="3048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9982200" y="37909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9982200" y="37909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5"/>
  <sheetViews>
    <sheetView zoomScale="80" zoomScaleNormal="80" workbookViewId="0">
      <selection activeCell="G13" sqref="G13"/>
    </sheetView>
  </sheetViews>
  <sheetFormatPr defaultRowHeight="14.4" x14ac:dyDescent="0.3"/>
  <cols>
    <col min="3" max="3" width="7.44140625" bestFit="1" customWidth="1"/>
    <col min="6" max="36" width="6.44140625" bestFit="1" customWidth="1"/>
  </cols>
  <sheetData>
    <row r="2" spans="2:36" x14ac:dyDescent="0.3">
      <c r="N2">
        <f>(C9*C8*C4^2)/(2*C10)</f>
        <v>0.4333333333333334</v>
      </c>
    </row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0.43</v>
      </c>
    </row>
    <row r="6" spans="2:36" x14ac:dyDescent="0.3">
      <c r="B6" s="4" t="s">
        <v>3</v>
      </c>
      <c r="C6" s="4">
        <v>60</v>
      </c>
      <c r="D6">
        <v>60.199999999999996</v>
      </c>
      <c r="E6">
        <f>C6/C5</f>
        <v>139.53488372093022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280.29321910927666</v>
      </c>
      <c r="H13" s="3">
        <v>260.76992620624469</v>
      </c>
      <c r="I13" s="3">
        <v>241.53714551581209</v>
      </c>
      <c r="J13" s="3">
        <v>222.84207649919702</v>
      </c>
      <c r="K13" s="3">
        <v>204.7079123846629</v>
      </c>
      <c r="L13" s="3">
        <v>187.4289915164546</v>
      </c>
      <c r="M13" s="3">
        <v>170.94358487196644</v>
      </c>
      <c r="N13" s="3">
        <v>155.57469985957152</v>
      </c>
      <c r="O13" s="3">
        <v>141.18090966932513</v>
      </c>
      <c r="P13" s="3">
        <v>128.0954363107559</v>
      </c>
      <c r="Q13" s="3">
        <v>116.10789194763245</v>
      </c>
      <c r="R13" s="3">
        <v>105.54484942154785</v>
      </c>
      <c r="S13" s="3">
        <v>96.141750367640611</v>
      </c>
      <c r="T13" s="3">
        <v>88.204275016251756</v>
      </c>
      <c r="U13" s="3">
        <v>81.430737487071141</v>
      </c>
      <c r="V13" s="3">
        <v>76.0947315135884</v>
      </c>
      <c r="W13" s="3">
        <v>71.874945509610782</v>
      </c>
      <c r="X13" s="3">
        <v>69.004658243588111</v>
      </c>
      <c r="Y13" s="3">
        <v>67.159404857464054</v>
      </c>
      <c r="Z13" s="3">
        <v>66.526467285105824</v>
      </c>
      <c r="AA13" s="3">
        <v>66.792668372921142</v>
      </c>
      <c r="AB13" s="3">
        <v>68.095607819509254</v>
      </c>
      <c r="AC13" s="3">
        <v>70.145329006594167</v>
      </c>
      <c r="AD13" s="3">
        <v>73.027547301287228</v>
      </c>
      <c r="AE13" s="3">
        <v>76.484917878539179</v>
      </c>
      <c r="AF13" s="3">
        <v>80.550175786705083</v>
      </c>
      <c r="AG13" s="3">
        <v>85.005694508489441</v>
      </c>
      <c r="AH13" s="3">
        <v>89.831025344161674</v>
      </c>
      <c r="AI13" s="3">
        <v>94.853464903053307</v>
      </c>
      <c r="AJ13" s="3">
        <f>C13</f>
        <v>100</v>
      </c>
    </row>
    <row r="15" spans="2:36" x14ac:dyDescent="0.3">
      <c r="E15" t="s">
        <v>10</v>
      </c>
      <c r="G15">
        <f>G13+(($C$10*$C$5)/($C$9*$C$8))*((H13-2*G13+F13)/($C$4^2))</f>
        <v>280.38425738009278</v>
      </c>
      <c r="H15">
        <f t="shared" ref="H15:AI15" si="1">H13+(($C$10*$C$5)/($C$9*$C$8))*((I13-2*H13+G13)/($C$4^2))</f>
        <v>260.91406495788056</v>
      </c>
      <c r="I15">
        <f t="shared" si="1"/>
        <v>241.80393323089848</v>
      </c>
      <c r="J15">
        <f t="shared" si="1"/>
        <v>223.12037162369103</v>
      </c>
      <c r="K15">
        <f t="shared" si="1"/>
        <v>205.13224461072457</v>
      </c>
      <c r="L15">
        <f t="shared" si="1"/>
        <v>187.82269665053113</v>
      </c>
      <c r="M15">
        <f t="shared" si="1"/>
        <v>171.49755137404347</v>
      </c>
      <c r="N15">
        <f t="shared" si="1"/>
        <v>156.05849690594522</v>
      </c>
      <c r="O15">
        <f t="shared" si="1"/>
        <v>141.83003609734956</v>
      </c>
      <c r="P15">
        <f t="shared" si="1"/>
        <v>128.64017800465015</v>
      </c>
      <c r="Q15">
        <f t="shared" si="1"/>
        <v>116.8146640129325</v>
      </c>
      <c r="R15">
        <f t="shared" si="1"/>
        <v>106.1203598365897</v>
      </c>
      <c r="S15">
        <f t="shared" si="1"/>
        <v>96.868925204659348</v>
      </c>
      <c r="T15">
        <f t="shared" si="1"/>
        <v>88.781767243424312</v>
      </c>
      <c r="U15">
        <f t="shared" si="1"/>
        <v>82.143974297398159</v>
      </c>
      <c r="V15">
        <f t="shared" si="1"/>
        <v>76.648548344612095</v>
      </c>
      <c r="W15">
        <f t="shared" si="1"/>
        <v>72.544504498826896</v>
      </c>
      <c r="X15">
        <f t="shared" si="1"/>
        <v>69.513232745537806</v>
      </c>
      <c r="Y15">
        <f t="shared" si="1"/>
        <v>67.760900011217103</v>
      </c>
      <c r="Z15">
        <f t="shared" si="1"/>
        <v>66.97257838957654</v>
      </c>
      <c r="AA15">
        <f t="shared" si="1"/>
        <v>67.307050097081486</v>
      </c>
      <c r="AB15">
        <f t="shared" si="1"/>
        <v>68.466126452294205</v>
      </c>
      <c r="AC15">
        <f t="shared" si="1"/>
        <v>70.558375648445903</v>
      </c>
      <c r="AD15">
        <f t="shared" si="1"/>
        <v>73.312911318402982</v>
      </c>
      <c r="AE15">
        <f t="shared" si="1"/>
        <v>76.786523515800326</v>
      </c>
      <c r="AF15">
        <f t="shared" si="1"/>
        <v>80.743805190385004</v>
      </c>
      <c r="AG15">
        <f t="shared" si="1"/>
        <v>85.189178211149198</v>
      </c>
      <c r="AH15">
        <f t="shared" si="1"/>
        <v>89.92882159529745</v>
      </c>
      <c r="AI15">
        <f t="shared" si="1"/>
        <v>94.915035381549856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20"/>
  <sheetViews>
    <sheetView tabSelected="1" topLeftCell="C1" zoomScale="80" zoomScaleNormal="80" workbookViewId="0">
      <selection activeCell="AH7" sqref="AH7"/>
    </sheetView>
  </sheetViews>
  <sheetFormatPr defaultRowHeight="14.4" x14ac:dyDescent="0.3"/>
  <cols>
    <col min="3" max="3" width="9" bestFit="1" customWidth="1"/>
    <col min="6" max="6" width="11.6640625" bestFit="1" customWidth="1"/>
    <col min="7" max="7" width="7.33203125" bestFit="1" customWidth="1"/>
    <col min="8" max="36" width="6.44140625" bestFit="1" customWidth="1"/>
  </cols>
  <sheetData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2</v>
      </c>
    </row>
    <row r="6" spans="2:36" x14ac:dyDescent="0.3">
      <c r="B6" s="4" t="s">
        <v>3</v>
      </c>
      <c r="C6" s="4">
        <v>60</v>
      </c>
      <c r="D6">
        <v>62</v>
      </c>
      <c r="F6">
        <f>C6/C5</f>
        <v>30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223.01196062981921</v>
      </c>
      <c r="H13" s="3">
        <v>146.02398686922703</v>
      </c>
      <c r="I13" s="3">
        <v>97.093162137197396</v>
      </c>
      <c r="J13" s="3">
        <v>64.430425709051107</v>
      </c>
      <c r="K13" s="3">
        <v>42.766480644991702</v>
      </c>
      <c r="L13" s="3">
        <v>28.385815120587381</v>
      </c>
      <c r="M13" s="3">
        <v>18.840846904994219</v>
      </c>
      <c r="N13" s="3">
        <v>12.50542650202101</v>
      </c>
      <c r="O13" s="3">
        <v>8.3003436110029654</v>
      </c>
      <c r="P13" s="3">
        <v>5.5092728437355891</v>
      </c>
      <c r="Q13" s="3">
        <v>3.6567707025486853</v>
      </c>
      <c r="R13" s="3">
        <v>2.4272900108947102</v>
      </c>
      <c r="S13" s="3">
        <v>1.6114410245415405</v>
      </c>
      <c r="T13" s="3">
        <v>1.0703501418300778</v>
      </c>
      <c r="U13" s="3">
        <v>0.71205931232850905</v>
      </c>
      <c r="V13" s="3">
        <v>0.47597497482819962</v>
      </c>
      <c r="W13" s="3">
        <v>0.32277656291309853</v>
      </c>
      <c r="X13" s="3">
        <v>0.22818537875892103</v>
      </c>
      <c r="Y13" s="3">
        <v>0.17977533302705295</v>
      </c>
      <c r="Z13" s="3">
        <v>0.17677469157355463</v>
      </c>
      <c r="AA13" s="3">
        <v>0.23382308350480874</v>
      </c>
      <c r="AB13" s="3">
        <v>0.39134652476214238</v>
      </c>
      <c r="AC13" s="3">
        <v>0.73841745895379718</v>
      </c>
      <c r="AD13" s="3">
        <v>1.4603029716210434</v>
      </c>
      <c r="AE13" s="3">
        <v>2.9356413106430588</v>
      </c>
      <c r="AF13" s="3">
        <v>5.9339321035098518</v>
      </c>
      <c r="AG13" s="3">
        <v>12.016159131962283</v>
      </c>
      <c r="AH13" s="3">
        <v>24.346996362907895</v>
      </c>
      <c r="AI13" s="3">
        <v>49.341118950531083</v>
      </c>
      <c r="AJ13" s="3">
        <f>C13</f>
        <v>100</v>
      </c>
    </row>
    <row r="15" spans="2:36" x14ac:dyDescent="0.3">
      <c r="E15" t="s">
        <v>10</v>
      </c>
      <c r="G15">
        <f t="shared" ref="G15:AC15" si="1">G18*H13+G19</f>
        <v>223.01198759266384</v>
      </c>
      <c r="H15">
        <f t="shared" si="1"/>
        <v>146.02402317867165</v>
      </c>
      <c r="I15">
        <f t="shared" si="1"/>
        <v>97.093208906350569</v>
      </c>
      <c r="J15">
        <f>J18*K13+J19</f>
        <v>64.430480594812423</v>
      </c>
      <c r="K15">
        <f t="shared" si="1"/>
        <v>42.766541665131015</v>
      </c>
      <c r="L15">
        <f t="shared" si="1"/>
        <v>28.385880224810112</v>
      </c>
      <c r="M15">
        <f t="shared" si="1"/>
        <v>18.84091416662487</v>
      </c>
      <c r="N15">
        <f t="shared" si="1"/>
        <v>12.505494199713317</v>
      </c>
      <c r="O15">
        <f t="shared" si="1"/>
        <v>8.3004102995671403</v>
      </c>
      <c r="P15">
        <f t="shared" si="1"/>
        <v>5.5093373984028258</v>
      </c>
      <c r="Q15">
        <f t="shared" si="1"/>
        <v>3.6568323378463368</v>
      </c>
      <c r="R15">
        <f t="shared" si="1"/>
        <v>2.4273482742253099</v>
      </c>
      <c r="S15">
        <f t="shared" si="1"/>
        <v>1.6114957659034419</v>
      </c>
      <c r="T15">
        <f t="shared" si="1"/>
        <v>1.0704014624458249</v>
      </c>
      <c r="U15">
        <f t="shared" si="1"/>
        <v>0.71210749658681549</v>
      </c>
      <c r="V15">
        <f t="shared" si="1"/>
        <v>0.47602041164501652</v>
      </c>
      <c r="W15">
        <f t="shared" si="1"/>
        <v>0.32281966402035317</v>
      </c>
      <c r="X15">
        <f t="shared" si="1"/>
        <v>0.22822650213497359</v>
      </c>
      <c r="Y15">
        <f t="shared" si="1"/>
        <v>0.17981471938186186</v>
      </c>
      <c r="Z15">
        <f t="shared" si="1"/>
        <v>0.1768124203818674</v>
      </c>
      <c r="AA15">
        <f t="shared" si="1"/>
        <v>0.23385905267422491</v>
      </c>
      <c r="AB15">
        <f t="shared" si="1"/>
        <v>0.39138045498282642</v>
      </c>
      <c r="AC15">
        <f t="shared" si="1"/>
        <v>0.73844892059626777</v>
      </c>
      <c r="AD15">
        <f t="shared" ref="AD15:AI15" si="2">AD18*AE13+AD19</f>
        <v>1.4603314292484557</v>
      </c>
      <c r="AE15">
        <f t="shared" si="2"/>
        <v>2.9356661782208162</v>
      </c>
      <c r="AF15">
        <f t="shared" si="2"/>
        <v>5.933952802496929</v>
      </c>
      <c r="AG15">
        <f t="shared" si="2"/>
        <v>12.016175144718723</v>
      </c>
      <c r="AH15">
        <f t="shared" si="2"/>
        <v>24.34700727511931</v>
      </c>
      <c r="AI15">
        <f t="shared" si="2"/>
        <v>49.341124478352853</v>
      </c>
    </row>
    <row r="17" spans="2:35" x14ac:dyDescent="0.3">
      <c r="B17" s="4" t="s">
        <v>11</v>
      </c>
      <c r="C17" s="4">
        <f>C10/C4^2</f>
        <v>4139999.9999999991</v>
      </c>
    </row>
    <row r="18" spans="2:35" x14ac:dyDescent="0.3">
      <c r="B18" s="4" t="s">
        <v>12</v>
      </c>
      <c r="C18" s="4">
        <f>2*C10/C4^2+C9*C8/C5</f>
        <v>10073999.999999998</v>
      </c>
      <c r="E18" s="3" t="s">
        <v>14</v>
      </c>
      <c r="F18">
        <v>0</v>
      </c>
      <c r="G18">
        <f>$C$17/($C$18+$C$19*F18)</f>
        <v>0.41095890410958902</v>
      </c>
      <c r="H18">
        <f>$C$17/($C$18+$C$19*G18)</f>
        <v>0.35158131321239366</v>
      </c>
      <c r="I18">
        <f t="shared" ref="I18:AI18" si="3">$C$17/($C$18+$C$19*H18)</f>
        <v>0.35907743213615234</v>
      </c>
      <c r="J18">
        <f t="shared" si="3"/>
        <v>0.35811350262856861</v>
      </c>
      <c r="K18">
        <f t="shared" si="3"/>
        <v>0.35823716472658917</v>
      </c>
      <c r="L18">
        <f t="shared" si="3"/>
        <v>0.35822129539446596</v>
      </c>
      <c r="M18">
        <f t="shared" si="3"/>
        <v>0.3582233317983578</v>
      </c>
      <c r="N18">
        <f t="shared" si="3"/>
        <v>0.35822307047914609</v>
      </c>
      <c r="O18">
        <f t="shared" si="3"/>
        <v>0.3582231040126152</v>
      </c>
      <c r="P18">
        <f t="shared" si="3"/>
        <v>0.35822309970947341</v>
      </c>
      <c r="Q18">
        <f t="shared" si="3"/>
        <v>0.35822310026166887</v>
      </c>
      <c r="R18">
        <f t="shared" si="3"/>
        <v>0.35822310019080905</v>
      </c>
      <c r="S18">
        <f t="shared" si="3"/>
        <v>0.358223100199902</v>
      </c>
      <c r="T18">
        <f t="shared" si="3"/>
        <v>0.35822310019873521</v>
      </c>
      <c r="U18">
        <f t="shared" si="3"/>
        <v>0.35822310019888493</v>
      </c>
      <c r="V18">
        <f t="shared" si="3"/>
        <v>0.35822310019886566</v>
      </c>
      <c r="W18">
        <f t="shared" si="3"/>
        <v>0.35822310019886816</v>
      </c>
      <c r="X18">
        <f t="shared" si="3"/>
        <v>0.35822310019886788</v>
      </c>
      <c r="Y18">
        <f t="shared" si="3"/>
        <v>0.35822310019886788</v>
      </c>
      <c r="Z18">
        <f t="shared" si="3"/>
        <v>0.35822310019886788</v>
      </c>
      <c r="AA18">
        <f t="shared" si="3"/>
        <v>0.35822310019886788</v>
      </c>
      <c r="AB18">
        <f t="shared" si="3"/>
        <v>0.35822310019886788</v>
      </c>
      <c r="AC18">
        <f t="shared" si="3"/>
        <v>0.35822310019886788</v>
      </c>
      <c r="AD18">
        <f t="shared" si="3"/>
        <v>0.35822310019886788</v>
      </c>
      <c r="AE18">
        <f t="shared" si="3"/>
        <v>0.35822310019886788</v>
      </c>
      <c r="AF18">
        <f t="shared" si="3"/>
        <v>0.35822310019886788</v>
      </c>
      <c r="AG18">
        <f t="shared" si="3"/>
        <v>0.35822310019886788</v>
      </c>
      <c r="AH18">
        <f t="shared" si="3"/>
        <v>0.35822310019886788</v>
      </c>
      <c r="AI18">
        <f t="shared" si="3"/>
        <v>0.35822310019886788</v>
      </c>
    </row>
    <row r="19" spans="2:35" x14ac:dyDescent="0.3">
      <c r="B19" s="4" t="s">
        <v>13</v>
      </c>
      <c r="C19" s="4">
        <f>C10/C4^2</f>
        <v>4139999.9999999991</v>
      </c>
      <c r="E19" s="3" t="s">
        <v>15</v>
      </c>
      <c r="F19">
        <f>F13</f>
        <v>300</v>
      </c>
      <c r="G19">
        <f>(F19*$C$19-G20)/($C$18-$C$19*F18)</f>
        <v>163.00212997517329</v>
      </c>
      <c r="H19">
        <f t="shared" ref="H19:AI19" si="4">(G19*$C$19-H20)/($C$18-$C$19*G18)</f>
        <v>111.88788173053193</v>
      </c>
      <c r="I19">
        <f t="shared" si="4"/>
        <v>73.957697091305363</v>
      </c>
      <c r="J19">
        <f t="shared" si="4"/>
        <v>49.115226415937563</v>
      </c>
      <c r="K19">
        <f t="shared" si="4"/>
        <v>32.597687737878651</v>
      </c>
      <c r="L19">
        <f t="shared" si="4"/>
        <v>21.636687640174269</v>
      </c>
      <c r="M19">
        <f t="shared" si="4"/>
        <v>14.361178619511421</v>
      </c>
      <c r="N19">
        <f t="shared" si="4"/>
        <v>9.5321196253478711</v>
      </c>
      <c r="O19">
        <f t="shared" si="4"/>
        <v>6.32686148063177</v>
      </c>
      <c r="P19">
        <f t="shared" si="4"/>
        <v>4.199397662409047</v>
      </c>
      <c r="Q19">
        <f t="shared" si="4"/>
        <v>2.7873209849094538</v>
      </c>
      <c r="R19">
        <f t="shared" si="4"/>
        <v>1.8500928746393857</v>
      </c>
      <c r="S19">
        <f t="shared" si="4"/>
        <v>1.2280716197976667</v>
      </c>
      <c r="T19">
        <f t="shared" si="4"/>
        <v>0.81532536805812694</v>
      </c>
      <c r="U19">
        <f t="shared" si="4"/>
        <v>0.54160226548677159</v>
      </c>
      <c r="V19">
        <f t="shared" si="4"/>
        <v>0.36039439060675216</v>
      </c>
      <c r="W19">
        <f t="shared" si="4"/>
        <v>0.24107839022127953</v>
      </c>
      <c r="X19">
        <f t="shared" si="4"/>
        <v>0.16382682499873874</v>
      </c>
      <c r="Y19">
        <f t="shared" si="4"/>
        <v>0.11648994132968443</v>
      </c>
      <c r="Z19">
        <f t="shared" si="4"/>
        <v>9.3051590510716042E-2</v>
      </c>
      <c r="AA19">
        <f t="shared" si="4"/>
        <v>9.3669687321877249E-2</v>
      </c>
      <c r="AB19">
        <f t="shared" si="4"/>
        <v>0.12686226359542691</v>
      </c>
      <c r="AC19">
        <f t="shared" si="4"/>
        <v>0.21533466287255817</v>
      </c>
      <c r="AD19">
        <f t="shared" si="4"/>
        <v>0.40871689787803134</v>
      </c>
      <c r="AE19">
        <f t="shared" si="4"/>
        <v>0.80999462373192754</v>
      </c>
      <c r="AF19">
        <f t="shared" si="4"/>
        <v>1.6294870257624627</v>
      </c>
      <c r="AG19">
        <f t="shared" si="4"/>
        <v>3.294518627067295</v>
      </c>
      <c r="AH19">
        <f t="shared" si="4"/>
        <v>6.6718786773789569</v>
      </c>
      <c r="AI19">
        <f t="shared" si="4"/>
        <v>13.518814458466064</v>
      </c>
    </row>
    <row r="20" spans="2:35" x14ac:dyDescent="0.3">
      <c r="E20" s="3" t="s">
        <v>16</v>
      </c>
      <c r="F20">
        <f>-$C$9*$C$8/$C$5*F13</f>
        <v>-538200000</v>
      </c>
      <c r="G20">
        <f t="shared" ref="G20:AI20" si="5">-$C$9*$C$8/$C$5*G13</f>
        <v>-400083457.3698957</v>
      </c>
      <c r="H20">
        <f t="shared" si="5"/>
        <v>-261967032.44339329</v>
      </c>
      <c r="I20">
        <f t="shared" si="5"/>
        <v>-174185132.87413213</v>
      </c>
      <c r="J20">
        <f t="shared" si="5"/>
        <v>-115588183.72203769</v>
      </c>
      <c r="K20">
        <f t="shared" si="5"/>
        <v>-76723066.277115107</v>
      </c>
      <c r="L20">
        <f t="shared" si="5"/>
        <v>-50924152.326333761</v>
      </c>
      <c r="M20">
        <f t="shared" si="5"/>
        <v>-33800479.347559631</v>
      </c>
      <c r="N20">
        <f t="shared" si="5"/>
        <v>-22434735.14462569</v>
      </c>
      <c r="O20">
        <f t="shared" si="5"/>
        <v>-14890816.438139319</v>
      </c>
      <c r="P20">
        <f t="shared" si="5"/>
        <v>-9883635.4816616476</v>
      </c>
      <c r="Q20">
        <f t="shared" si="5"/>
        <v>-6560246.6403723415</v>
      </c>
      <c r="R20">
        <f t="shared" si="5"/>
        <v>-4354558.2795451097</v>
      </c>
      <c r="S20">
        <f t="shared" si="5"/>
        <v>-2890925.1980275237</v>
      </c>
      <c r="T20">
        <f t="shared" si="5"/>
        <v>-1920208.1544431597</v>
      </c>
      <c r="U20">
        <f t="shared" si="5"/>
        <v>-1277434.4063173453</v>
      </c>
      <c r="V20">
        <f t="shared" si="5"/>
        <v>-853899.10484179016</v>
      </c>
      <c r="W20">
        <f t="shared" si="5"/>
        <v>-579061.15386609873</v>
      </c>
      <c r="X20">
        <f t="shared" si="5"/>
        <v>-409364.56949350436</v>
      </c>
      <c r="Y20">
        <f t="shared" si="5"/>
        <v>-322516.94745053299</v>
      </c>
      <c r="Z20">
        <f t="shared" si="5"/>
        <v>-317133.79668295704</v>
      </c>
      <c r="AA20">
        <f t="shared" si="5"/>
        <v>-419478.61180762685</v>
      </c>
      <c r="AB20">
        <f t="shared" si="5"/>
        <v>-702075.66542328347</v>
      </c>
      <c r="AC20">
        <f t="shared" si="5"/>
        <v>-1324720.9213631121</v>
      </c>
      <c r="AD20">
        <f t="shared" si="5"/>
        <v>-2619783.531088152</v>
      </c>
      <c r="AE20">
        <f t="shared" si="5"/>
        <v>-5266540.5112936478</v>
      </c>
      <c r="AF20">
        <f t="shared" si="5"/>
        <v>-10645474.193696674</v>
      </c>
      <c r="AG20">
        <f t="shared" si="5"/>
        <v>-21556989.482740335</v>
      </c>
      <c r="AH20">
        <f t="shared" si="5"/>
        <v>-43678511.47505676</v>
      </c>
      <c r="AI20">
        <f t="shared" si="5"/>
        <v>-88517967.397252768</v>
      </c>
    </row>
  </sheetData>
  <conditionalFormatting sqref="F13:AJ13"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C000"/>
        <color rgb="FF00B0F0"/>
        <color rgb="FF002060"/>
      </colorScale>
    </cfRule>
    <cfRule type="colorScale" priority="2">
      <colorScale>
        <cfvo type="min"/>
        <cfvo type="percentile" val="50"/>
        <cfvo type="max"/>
        <color rgb="FFFF0000"/>
        <color rgb="FFFFEB84"/>
        <color rgb="FF00206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HP</cp:lastModifiedBy>
  <dcterms:created xsi:type="dcterms:W3CDTF">2015-06-05T18:17:20Z</dcterms:created>
  <dcterms:modified xsi:type="dcterms:W3CDTF">2021-03-14T15:27:35Z</dcterms:modified>
</cp:coreProperties>
</file>