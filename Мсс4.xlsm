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style1.xml" ContentType="application/vnd.ms-office.chartstyle+xml"/>
  <Override PartName="/xl/charts/colors1.xml" ContentType="application/vnd.ms-office.chartcolor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0" yWindow="0" windowWidth="23256" windowHeight="12480"/>
  </bookViews>
  <sheets>
    <sheet name="Лист1" sheetId="1" r:id="rId1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5" i="1" l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Z23" i="1"/>
  <c r="AN22" i="1"/>
  <c r="Z22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Z21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Z20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Z19" i="1"/>
  <c r="Z26" i="1"/>
  <c r="AN24" i="1"/>
  <c r="Z24" i="1"/>
  <c r="Z13" i="1"/>
  <c r="Z12" i="1"/>
  <c r="AN11" i="1"/>
  <c r="Z11" i="1"/>
  <c r="AJ10" i="1"/>
  <c r="AK10" i="1"/>
  <c r="AL10" i="1"/>
  <c r="AM10" i="1"/>
  <c r="AN10" i="1"/>
  <c r="AI10" i="1"/>
  <c r="AA10" i="1"/>
  <c r="AB10" i="1"/>
  <c r="AC10" i="1"/>
  <c r="Z10" i="1"/>
  <c r="AN9" i="1"/>
  <c r="Z9" i="1"/>
  <c r="AJ8" i="1"/>
  <c r="AK8" i="1"/>
  <c r="AL8" i="1"/>
  <c r="AM8" i="1"/>
  <c r="AN8" i="1"/>
  <c r="AI8" i="1"/>
  <c r="AH8" i="1"/>
  <c r="AG8" i="1"/>
  <c r="AF8" i="1"/>
  <c r="AA8" i="1"/>
  <c r="AB8" i="1"/>
  <c r="AC8" i="1"/>
  <c r="AD8" i="1"/>
  <c r="Z8" i="1"/>
  <c r="AE8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Z7" i="1"/>
  <c r="AJ6" i="1"/>
  <c r="AK6" i="1"/>
  <c r="AL6" i="1"/>
  <c r="AM6" i="1"/>
  <c r="AN6" i="1"/>
  <c r="AI6" i="1"/>
  <c r="AH6" i="1"/>
  <c r="AG6" i="1"/>
  <c r="AF6" i="1"/>
  <c r="AE6" i="1"/>
  <c r="AA6" i="1"/>
  <c r="AB6" i="1"/>
  <c r="AC6" i="1"/>
  <c r="AD6" i="1"/>
  <c r="Z6" i="1"/>
  <c r="V71" i="1"/>
  <c r="H66" i="1"/>
  <c r="V61" i="1"/>
  <c r="H61" i="1"/>
  <c r="J72" i="1"/>
  <c r="K72" i="1" s="1"/>
  <c r="L72" i="1" s="1"/>
  <c r="M72" i="1" s="1"/>
  <c r="N72" i="1" s="1"/>
  <c r="O72" i="1" s="1"/>
  <c r="P72" i="1" s="1"/>
  <c r="Q72" i="1" s="1"/>
  <c r="R72" i="1" s="1"/>
  <c r="S72" i="1" s="1"/>
  <c r="T72" i="1" s="1"/>
  <c r="U72" i="1" s="1"/>
  <c r="V72" i="1" s="1"/>
  <c r="I72" i="1"/>
  <c r="G70" i="1"/>
  <c r="G69" i="1" s="1"/>
  <c r="G68" i="1" s="1"/>
  <c r="G67" i="1" s="1"/>
  <c r="G66" i="1" s="1"/>
  <c r="G65" i="1" s="1"/>
  <c r="G64" i="1" s="1"/>
  <c r="G63" i="1" s="1"/>
  <c r="G62" i="1" s="1"/>
  <c r="G61" i="1" s="1"/>
  <c r="R57" i="1"/>
  <c r="S57" i="1"/>
  <c r="T57" i="1"/>
  <c r="U57" i="1"/>
  <c r="Q57" i="1"/>
  <c r="V57" i="1"/>
  <c r="I52" i="1"/>
  <c r="J52" i="1"/>
  <c r="K52" i="1"/>
  <c r="H52" i="1"/>
  <c r="V47" i="1"/>
  <c r="U47" i="1"/>
  <c r="J47" i="1"/>
  <c r="K47" i="1"/>
  <c r="L47" i="1"/>
  <c r="M47" i="1"/>
  <c r="N47" i="1"/>
  <c r="O47" i="1"/>
  <c r="P47" i="1"/>
  <c r="Q47" i="1"/>
  <c r="R47" i="1"/>
  <c r="S47" i="1"/>
  <c r="T47" i="1"/>
  <c r="I47" i="1"/>
  <c r="H33" i="1"/>
  <c r="H47" i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G56" i="1"/>
  <c r="G55" i="1" s="1"/>
  <c r="G54" i="1" s="1"/>
  <c r="G53" i="1" s="1"/>
  <c r="G52" i="1" s="1"/>
  <c r="G51" i="1" s="1"/>
  <c r="G50" i="1" s="1"/>
  <c r="G49" i="1" s="1"/>
  <c r="G48" i="1" s="1"/>
  <c r="G47" i="1" s="1"/>
  <c r="J44" i="1"/>
  <c r="K44" i="1" s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I44" i="1"/>
  <c r="I30" i="1"/>
  <c r="J30" i="1" s="1"/>
  <c r="K30" i="1" s="1"/>
  <c r="L30" i="1" s="1"/>
  <c r="M30" i="1" s="1"/>
  <c r="N30" i="1" s="1"/>
  <c r="O30" i="1" s="1"/>
  <c r="P30" i="1" s="1"/>
  <c r="Q30" i="1" s="1"/>
  <c r="R30" i="1" s="1"/>
  <c r="S30" i="1" s="1"/>
  <c r="T30" i="1" s="1"/>
  <c r="U30" i="1" s="1"/>
  <c r="V30" i="1" s="1"/>
  <c r="J16" i="1"/>
  <c r="K16" i="1"/>
  <c r="L16" i="1"/>
  <c r="M16" i="1"/>
  <c r="N16" i="1" s="1"/>
  <c r="O16" i="1" s="1"/>
  <c r="P16" i="1" s="1"/>
  <c r="Q16" i="1" s="1"/>
  <c r="R16" i="1" s="1"/>
  <c r="S16" i="1" s="1"/>
  <c r="T16" i="1" s="1"/>
  <c r="U16" i="1" s="1"/>
  <c r="V16" i="1" s="1"/>
  <c r="I16" i="1"/>
  <c r="V43" i="1"/>
  <c r="V35" i="1"/>
  <c r="V36" i="1"/>
  <c r="V37" i="1"/>
  <c r="V38" i="1"/>
  <c r="V39" i="1"/>
  <c r="V40" i="1"/>
  <c r="V41" i="1"/>
  <c r="V42" i="1"/>
  <c r="V34" i="1"/>
  <c r="V33" i="1"/>
  <c r="H38" i="1"/>
  <c r="H35" i="1"/>
  <c r="H36" i="1"/>
  <c r="H37" i="1"/>
  <c r="H34" i="1"/>
  <c r="G42" i="1"/>
  <c r="G41" i="1"/>
  <c r="G40" i="1" s="1"/>
  <c r="G39" i="1" s="1"/>
  <c r="G38" i="1" s="1"/>
  <c r="G37" i="1" s="1"/>
  <c r="G36" i="1" s="1"/>
  <c r="G35" i="1" s="1"/>
  <c r="G34" i="1" s="1"/>
  <c r="G33" i="1" s="1"/>
  <c r="U14" i="1"/>
  <c r="V56" i="1" s="1"/>
  <c r="V70" i="1" s="1"/>
  <c r="T13" i="1"/>
  <c r="U55" i="1" s="1"/>
  <c r="Q14" i="1"/>
  <c r="R14" i="1"/>
  <c r="R43" i="1" s="1"/>
  <c r="T12" i="1"/>
  <c r="U54" i="1" s="1"/>
  <c r="S13" i="1"/>
  <c r="S42" i="1" s="1"/>
  <c r="P12" i="1"/>
  <c r="Q11" i="1"/>
  <c r="Q12" i="1"/>
  <c r="T11" i="1"/>
  <c r="U53" i="1" s="1"/>
  <c r="R11" i="1"/>
  <c r="P11" i="1"/>
  <c r="N11" i="1"/>
  <c r="N40" i="1" s="1"/>
  <c r="T10" i="1"/>
  <c r="Q8" i="1"/>
  <c r="P10" i="1"/>
  <c r="M8" i="1"/>
  <c r="M9" i="1"/>
  <c r="M38" i="1" s="1"/>
  <c r="I9" i="1"/>
  <c r="T9" i="1"/>
  <c r="U51" i="1" s="1"/>
  <c r="S7" i="1"/>
  <c r="P9" i="1"/>
  <c r="O7" i="1"/>
  <c r="O34" i="1" s="1"/>
  <c r="L9" i="1"/>
  <c r="K7" i="1"/>
  <c r="K34" i="1" s="1"/>
  <c r="R8" i="1"/>
  <c r="N8" i="1"/>
  <c r="J8" i="1"/>
  <c r="I50" i="1" s="1"/>
  <c r="R7" i="1"/>
  <c r="R34" i="1" s="1"/>
  <c r="N7" i="1"/>
  <c r="J7" i="1"/>
  <c r="J34" i="1" s="1"/>
  <c r="AB22" i="1" s="1"/>
  <c r="T14" i="1"/>
  <c r="U56" i="1" s="1"/>
  <c r="P13" i="1"/>
  <c r="O55" i="1" s="1"/>
  <c r="AG10" i="1" s="1"/>
  <c r="R13" i="1"/>
  <c r="O12" i="1"/>
  <c r="N54" i="1" s="1"/>
  <c r="AF10" i="1" s="1"/>
  <c r="S12" i="1"/>
  <c r="O11" i="1"/>
  <c r="S11" i="1"/>
  <c r="N10" i="1"/>
  <c r="R10" i="1"/>
  <c r="L7" i="1"/>
  <c r="L34" i="1" s="1"/>
  <c r="M7" i="1"/>
  <c r="M34" i="1" s="1"/>
  <c r="P7" i="1"/>
  <c r="Q7" i="1"/>
  <c r="Q34" i="1" s="1"/>
  <c r="AI22" i="1" s="1"/>
  <c r="AI24" i="1" s="1"/>
  <c r="T7" i="1"/>
  <c r="U49" i="1" s="1"/>
  <c r="K8" i="1"/>
  <c r="K37" i="1" s="1"/>
  <c r="L8" i="1"/>
  <c r="L37" i="1" s="1"/>
  <c r="O8" i="1"/>
  <c r="P8" i="1"/>
  <c r="S8" i="1"/>
  <c r="T8" i="1"/>
  <c r="U50" i="1" s="1"/>
  <c r="J9" i="1"/>
  <c r="J38" i="1" s="1"/>
  <c r="AB9" i="1" s="1"/>
  <c r="AB11" i="1" s="1"/>
  <c r="K9" i="1"/>
  <c r="O9" i="1"/>
  <c r="S9" i="1"/>
  <c r="B6" i="1"/>
  <c r="V14" i="1"/>
  <c r="V13" i="1" s="1"/>
  <c r="V12" i="1" s="1"/>
  <c r="V11" i="1" s="1"/>
  <c r="V10" i="1" s="1"/>
  <c r="V9" i="1" s="1"/>
  <c r="V8" i="1" s="1"/>
  <c r="V7" i="1" s="1"/>
  <c r="V6" i="1" s="1"/>
  <c r="J5" i="1"/>
  <c r="K5" i="1"/>
  <c r="L5" i="1"/>
  <c r="M5" i="1"/>
  <c r="N5" i="1" s="1"/>
  <c r="O5" i="1" s="1"/>
  <c r="P5" i="1" s="1"/>
  <c r="Q5" i="1" s="1"/>
  <c r="R5" i="1" s="1"/>
  <c r="S5" i="1" s="1"/>
  <c r="T5" i="1" s="1"/>
  <c r="U5" i="1" s="1"/>
  <c r="V5" i="1" s="1"/>
  <c r="I5" i="1"/>
  <c r="H5" i="1"/>
  <c r="H8" i="1"/>
  <c r="H7" i="1" s="1"/>
  <c r="H6" i="1" s="1"/>
  <c r="H9" i="1"/>
  <c r="G28" i="1"/>
  <c r="G27" i="1"/>
  <c r="G26" i="1" s="1"/>
  <c r="G25" i="1" s="1"/>
  <c r="G24" i="1" s="1"/>
  <c r="G23" i="1" s="1"/>
  <c r="G22" i="1" s="1"/>
  <c r="G21" i="1" s="1"/>
  <c r="G20" i="1" s="1"/>
  <c r="G19" i="1" s="1"/>
  <c r="G12" i="1"/>
  <c r="G11" i="1" s="1"/>
  <c r="G10" i="1" s="1"/>
  <c r="G9" i="1" s="1"/>
  <c r="G8" i="1" s="1"/>
  <c r="G7" i="1" s="1"/>
  <c r="G6" i="1" s="1"/>
  <c r="G5" i="1" s="1"/>
  <c r="G13" i="1"/>
  <c r="G14" i="1"/>
  <c r="S40" i="1" l="1"/>
  <c r="L51" i="1"/>
  <c r="L65" i="1" s="1"/>
  <c r="M49" i="1"/>
  <c r="P54" i="1"/>
  <c r="U43" i="1"/>
  <c r="U71" i="1" s="1"/>
  <c r="T39" i="1"/>
  <c r="Q49" i="1"/>
  <c r="J51" i="1"/>
  <c r="O50" i="1"/>
  <c r="R50" i="1"/>
  <c r="O41" i="1"/>
  <c r="AG9" i="1" s="1"/>
  <c r="AG11" i="1" s="1"/>
  <c r="O53" i="1"/>
  <c r="P53" i="1"/>
  <c r="P40" i="1"/>
  <c r="T42" i="1"/>
  <c r="N51" i="1"/>
  <c r="S38" i="1"/>
  <c r="P50" i="1"/>
  <c r="Q41" i="1"/>
  <c r="H51" i="1"/>
  <c r="H65" i="1" s="1"/>
  <c r="R49" i="1"/>
  <c r="S52" i="1"/>
  <c r="S55" i="1"/>
  <c r="P39" i="1"/>
  <c r="O40" i="1"/>
  <c r="K38" i="1"/>
  <c r="AC9" i="1" s="1"/>
  <c r="AC11" i="1" s="1"/>
  <c r="K49" i="1"/>
  <c r="AC22" i="1"/>
  <c r="AC24" i="1" s="1"/>
  <c r="AF9" i="1"/>
  <c r="AF11" i="1" s="1"/>
  <c r="N68" i="1"/>
  <c r="AE22" i="1"/>
  <c r="AE24" i="1" s="1"/>
  <c r="AJ9" i="1"/>
  <c r="AJ11" i="1" s="1"/>
  <c r="R71" i="1"/>
  <c r="Q55" i="1"/>
  <c r="P37" i="1"/>
  <c r="M50" i="1"/>
  <c r="L36" i="1"/>
  <c r="R40" i="1"/>
  <c r="T41" i="1"/>
  <c r="P34" i="1"/>
  <c r="T37" i="1"/>
  <c r="P38" i="1"/>
  <c r="N37" i="1"/>
  <c r="L38" i="1"/>
  <c r="P42" i="1"/>
  <c r="N50" i="1"/>
  <c r="S49" i="1"/>
  <c r="L49" i="1"/>
  <c r="O54" i="1"/>
  <c r="Q56" i="1"/>
  <c r="R54" i="1"/>
  <c r="U52" i="1"/>
  <c r="L50" i="1"/>
  <c r="J66" i="1"/>
  <c r="M52" i="1"/>
  <c r="M66" i="1" s="1"/>
  <c r="N39" i="1"/>
  <c r="P56" i="1"/>
  <c r="AH10" i="1" s="1"/>
  <c r="Q43" i="1"/>
  <c r="N34" i="1"/>
  <c r="J37" i="1"/>
  <c r="P36" i="1"/>
  <c r="T40" i="1"/>
  <c r="I38" i="1"/>
  <c r="T43" i="1"/>
  <c r="K50" i="1"/>
  <c r="O52" i="1"/>
  <c r="Q53" i="1"/>
  <c r="S56" i="1"/>
  <c r="S70" i="1" s="1"/>
  <c r="M53" i="1"/>
  <c r="AE10" i="1" s="1"/>
  <c r="S50" i="1"/>
  <c r="R37" i="1"/>
  <c r="T38" i="1"/>
  <c r="R53" i="1"/>
  <c r="T34" i="1"/>
  <c r="AD22" i="1"/>
  <c r="AD24" i="1" s="1"/>
  <c r="K36" i="1"/>
  <c r="R42" i="1"/>
  <c r="P41" i="1"/>
  <c r="O38" i="1"/>
  <c r="K51" i="1"/>
  <c r="K65" i="1" s="1"/>
  <c r="Q50" i="1"/>
  <c r="P49" i="1"/>
  <c r="I49" i="1"/>
  <c r="Q52" i="1"/>
  <c r="S34" i="1"/>
  <c r="T36" i="1"/>
  <c r="J36" i="1"/>
  <c r="O49" i="1"/>
  <c r="N53" i="1"/>
  <c r="AG22" i="1"/>
  <c r="AG24" i="1" s="1"/>
  <c r="N49" i="1"/>
  <c r="M36" i="1"/>
  <c r="AJ22" i="1"/>
  <c r="AJ24" i="1" s="1"/>
  <c r="S36" i="1"/>
  <c r="O36" i="1"/>
  <c r="I51" i="1"/>
  <c r="S53" i="1"/>
  <c r="AB24" i="1"/>
  <c r="U11" i="1"/>
  <c r="T53" i="1" s="1"/>
  <c r="U12" i="1"/>
  <c r="R9" i="1"/>
  <c r="Q51" i="1" s="1"/>
  <c r="N9" i="1"/>
  <c r="Q10" i="1"/>
  <c r="Q37" i="1" s="1"/>
  <c r="M10" i="1"/>
  <c r="R12" i="1"/>
  <c r="Q54" i="1" s="1"/>
  <c r="U13" i="1"/>
  <c r="T55" i="1" s="1"/>
  <c r="Q13" i="1"/>
  <c r="S14" i="1"/>
  <c r="Q9" i="1"/>
  <c r="P51" i="1" s="1"/>
  <c r="S10" i="1"/>
  <c r="O10" i="1"/>
  <c r="O37" i="1" s="1"/>
  <c r="O69" i="1" l="1"/>
  <c r="O64" i="1"/>
  <c r="K64" i="1"/>
  <c r="N65" i="1"/>
  <c r="P68" i="1"/>
  <c r="S66" i="1"/>
  <c r="O68" i="1"/>
  <c r="AM9" i="1"/>
  <c r="AM11" i="1" s="1"/>
  <c r="M64" i="1"/>
  <c r="P67" i="1"/>
  <c r="P64" i="1"/>
  <c r="T67" i="1"/>
  <c r="J65" i="1"/>
  <c r="Q69" i="1"/>
  <c r="S64" i="1"/>
  <c r="Q65" i="1"/>
  <c r="K66" i="1"/>
  <c r="T56" i="1"/>
  <c r="T70" i="1" s="1"/>
  <c r="S43" i="1"/>
  <c r="N38" i="1"/>
  <c r="O51" i="1"/>
  <c r="O65" i="1" s="1"/>
  <c r="N36" i="1"/>
  <c r="N64" i="1" s="1"/>
  <c r="AA9" i="1"/>
  <c r="AA11" i="1" s="1"/>
  <c r="AA12" i="1" s="1"/>
  <c r="I66" i="1"/>
  <c r="Q71" i="1"/>
  <c r="AI9" i="1"/>
  <c r="AI11" i="1" s="1"/>
  <c r="P70" i="1"/>
  <c r="AH9" i="1"/>
  <c r="AH11" i="1" s="1"/>
  <c r="T69" i="1"/>
  <c r="P55" i="1"/>
  <c r="P69" i="1" s="1"/>
  <c r="R55" i="1"/>
  <c r="Q42" i="1"/>
  <c r="Q70" i="1" s="1"/>
  <c r="AF22" i="1"/>
  <c r="AF24" i="1" s="1"/>
  <c r="V55" i="1"/>
  <c r="V69" i="1" s="1"/>
  <c r="U42" i="1"/>
  <c r="U70" i="1" s="1"/>
  <c r="S54" i="1"/>
  <c r="S68" i="1" s="1"/>
  <c r="R41" i="1"/>
  <c r="V53" i="1"/>
  <c r="V67" i="1" s="1"/>
  <c r="U40" i="1"/>
  <c r="U68" i="1" s="1"/>
  <c r="R56" i="1"/>
  <c r="R70" i="1" s="1"/>
  <c r="AD9" i="1"/>
  <c r="R68" i="1"/>
  <c r="AL9" i="1"/>
  <c r="AL11" i="1" s="1"/>
  <c r="T71" i="1"/>
  <c r="P65" i="1"/>
  <c r="T54" i="1"/>
  <c r="T68" i="1" s="1"/>
  <c r="V54" i="1"/>
  <c r="V68" i="1" s="1"/>
  <c r="U41" i="1"/>
  <c r="U69" i="1" s="1"/>
  <c r="S37" i="1"/>
  <c r="S39" i="1"/>
  <c r="S67" i="1" s="1"/>
  <c r="AK22" i="1"/>
  <c r="AK24" i="1" s="1"/>
  <c r="R39" i="1"/>
  <c r="R67" i="1" s="1"/>
  <c r="L64" i="1"/>
  <c r="M51" i="1"/>
  <c r="R38" i="1"/>
  <c r="S51" i="1"/>
  <c r="R36" i="1"/>
  <c r="R64" i="1" s="1"/>
  <c r="Q40" i="1"/>
  <c r="Q68" i="1" s="1"/>
  <c r="AH22" i="1"/>
  <c r="AH24" i="1" s="1"/>
  <c r="P52" i="1"/>
  <c r="P66" i="1" s="1"/>
  <c r="O39" i="1"/>
  <c r="O67" i="1" s="1"/>
  <c r="L52" i="1"/>
  <c r="AD10" i="1" s="1"/>
  <c r="N52" i="1"/>
  <c r="M37" i="1"/>
  <c r="M39" i="1"/>
  <c r="R51" i="1"/>
  <c r="R65" i="1" s="1"/>
  <c r="Q38" i="1"/>
  <c r="Q66" i="1" s="1"/>
  <c r="Q36" i="1"/>
  <c r="Q64" i="1" s="1"/>
  <c r="Q39" i="1"/>
  <c r="Q67" i="1" s="1"/>
  <c r="R52" i="1"/>
  <c r="O66" i="1"/>
  <c r="AL22" i="1"/>
  <c r="AL24" i="1" s="1"/>
  <c r="N67" i="1"/>
  <c r="S41" i="1"/>
  <c r="S69" i="1" s="1"/>
  <c r="U10" i="1"/>
  <c r="I7" i="1"/>
  <c r="I8" i="1"/>
  <c r="R69" i="1" l="1"/>
  <c r="S65" i="1"/>
  <c r="AB12" i="1"/>
  <c r="AA13" i="1"/>
  <c r="U39" i="1"/>
  <c r="U67" i="1" s="1"/>
  <c r="V52" i="1"/>
  <c r="V66" i="1" s="1"/>
  <c r="R66" i="1"/>
  <c r="L66" i="1"/>
  <c r="N66" i="1"/>
  <c r="J50" i="1"/>
  <c r="J64" i="1" s="1"/>
  <c r="I37" i="1"/>
  <c r="I65" i="1" s="1"/>
  <c r="H50" i="1"/>
  <c r="H64" i="1" s="1"/>
  <c r="AE9" i="1"/>
  <c r="AE11" i="1" s="1"/>
  <c r="M67" i="1"/>
  <c r="AD11" i="1"/>
  <c r="AK9" i="1"/>
  <c r="AK11" i="1" s="1"/>
  <c r="S71" i="1"/>
  <c r="I36" i="1"/>
  <c r="I64" i="1" s="1"/>
  <c r="I34" i="1"/>
  <c r="H49" i="1"/>
  <c r="H63" i="1" s="1"/>
  <c r="J49" i="1"/>
  <c r="M65" i="1"/>
  <c r="T52" i="1"/>
  <c r="T66" i="1" s="1"/>
  <c r="I6" i="1"/>
  <c r="U9" i="1"/>
  <c r="AA22" i="1" l="1"/>
  <c r="AA24" i="1" s="1"/>
  <c r="AA25" i="1" s="1"/>
  <c r="V51" i="1"/>
  <c r="V65" i="1" s="1"/>
  <c r="U38" i="1"/>
  <c r="U66" i="1" s="1"/>
  <c r="T51" i="1"/>
  <c r="T65" i="1" s="1"/>
  <c r="H48" i="1"/>
  <c r="H62" i="1" s="1"/>
  <c r="I35" i="1"/>
  <c r="I63" i="1" s="1"/>
  <c r="I33" i="1"/>
  <c r="I61" i="1" s="1"/>
  <c r="AC12" i="1"/>
  <c r="AB13" i="1"/>
  <c r="J6" i="1"/>
  <c r="U8" i="1"/>
  <c r="AC13" i="1" l="1"/>
  <c r="AD12" i="1"/>
  <c r="AA26" i="1"/>
  <c r="AB25" i="1"/>
  <c r="V50" i="1"/>
  <c r="V64" i="1" s="1"/>
  <c r="U37" i="1"/>
  <c r="U65" i="1" s="1"/>
  <c r="T50" i="1"/>
  <c r="T64" i="1" s="1"/>
  <c r="J33" i="1"/>
  <c r="J61" i="1" s="1"/>
  <c r="J35" i="1"/>
  <c r="J63" i="1" s="1"/>
  <c r="I48" i="1"/>
  <c r="I62" i="1" s="1"/>
  <c r="K6" i="1"/>
  <c r="U7" i="1"/>
  <c r="U36" i="1" l="1"/>
  <c r="U64" i="1" s="1"/>
  <c r="U34" i="1"/>
  <c r="V49" i="1"/>
  <c r="V63" i="1" s="1"/>
  <c r="T49" i="1"/>
  <c r="K35" i="1"/>
  <c r="K63" i="1" s="1"/>
  <c r="K33" i="1"/>
  <c r="K61" i="1" s="1"/>
  <c r="J48" i="1"/>
  <c r="J62" i="1" s="1"/>
  <c r="AD13" i="1"/>
  <c r="AE12" i="1"/>
  <c r="AB26" i="1"/>
  <c r="AC25" i="1"/>
  <c r="L6" i="1"/>
  <c r="L33" i="1" l="1"/>
  <c r="L61" i="1" s="1"/>
  <c r="L35" i="1"/>
  <c r="L63" i="1" s="1"/>
  <c r="K48" i="1"/>
  <c r="K62" i="1" s="1"/>
  <c r="AE13" i="1"/>
  <c r="AF12" i="1"/>
  <c r="AM22" i="1"/>
  <c r="AM24" i="1" s="1"/>
  <c r="AC26" i="1"/>
  <c r="AD25" i="1"/>
  <c r="M6" i="1"/>
  <c r="AD26" i="1" l="1"/>
  <c r="AE25" i="1"/>
  <c r="AG12" i="1"/>
  <c r="AF13" i="1"/>
  <c r="M33" i="1"/>
  <c r="M61" i="1" s="1"/>
  <c r="M35" i="1"/>
  <c r="M63" i="1" s="1"/>
  <c r="L48" i="1"/>
  <c r="L62" i="1" s="1"/>
  <c r="N6" i="1"/>
  <c r="AG13" i="1" l="1"/>
  <c r="AH12" i="1"/>
  <c r="AE26" i="1"/>
  <c r="AF25" i="1"/>
  <c r="N33" i="1"/>
  <c r="N61" i="1" s="1"/>
  <c r="N35" i="1"/>
  <c r="N63" i="1" s="1"/>
  <c r="M48" i="1"/>
  <c r="M62" i="1" s="1"/>
  <c r="O6" i="1"/>
  <c r="AI12" i="1" l="1"/>
  <c r="AH13" i="1"/>
  <c r="AF26" i="1"/>
  <c r="AG25" i="1"/>
  <c r="O35" i="1"/>
  <c r="O63" i="1" s="1"/>
  <c r="O33" i="1"/>
  <c r="O61" i="1" s="1"/>
  <c r="N48" i="1"/>
  <c r="N62" i="1" s="1"/>
  <c r="P6" i="1"/>
  <c r="AG26" i="1" l="1"/>
  <c r="AH25" i="1"/>
  <c r="P35" i="1"/>
  <c r="P63" i="1" s="1"/>
  <c r="P33" i="1"/>
  <c r="P61" i="1" s="1"/>
  <c r="O48" i="1"/>
  <c r="O62" i="1" s="1"/>
  <c r="AJ12" i="1"/>
  <c r="AI13" i="1"/>
  <c r="Q6" i="1"/>
  <c r="AI25" i="1" l="1"/>
  <c r="AH26" i="1"/>
  <c r="Q33" i="1"/>
  <c r="Q61" i="1" s="1"/>
  <c r="Q35" i="1"/>
  <c r="Q63" i="1" s="1"/>
  <c r="P48" i="1"/>
  <c r="P62" i="1" s="1"/>
  <c r="AK12" i="1"/>
  <c r="AJ13" i="1"/>
  <c r="R6" i="1"/>
  <c r="R33" i="1" l="1"/>
  <c r="R61" i="1" s="1"/>
  <c r="R35" i="1"/>
  <c r="R63" i="1" s="1"/>
  <c r="Q48" i="1"/>
  <c r="Q62" i="1" s="1"/>
  <c r="AL12" i="1"/>
  <c r="AK13" i="1"/>
  <c r="AI26" i="1"/>
  <c r="AJ25" i="1"/>
  <c r="S6" i="1"/>
  <c r="AL13" i="1" l="1"/>
  <c r="AM12" i="1"/>
  <c r="S33" i="1"/>
  <c r="S61" i="1" s="1"/>
  <c r="S35" i="1"/>
  <c r="S63" i="1" s="1"/>
  <c r="R48" i="1"/>
  <c r="R62" i="1" s="1"/>
  <c r="AJ26" i="1"/>
  <c r="AK25" i="1"/>
  <c r="T6" i="1"/>
  <c r="AN12" i="1" l="1"/>
  <c r="AN13" i="1" s="1"/>
  <c r="AM13" i="1"/>
  <c r="U48" i="1"/>
  <c r="U62" i="1" s="1"/>
  <c r="T33" i="1"/>
  <c r="T61" i="1" s="1"/>
  <c r="T35" i="1"/>
  <c r="T63" i="1" s="1"/>
  <c r="S48" i="1"/>
  <c r="S62" i="1" s="1"/>
  <c r="AL25" i="1"/>
  <c r="AK26" i="1"/>
  <c r="U6" i="1"/>
  <c r="U33" i="1" l="1"/>
  <c r="U61" i="1" s="1"/>
  <c r="V48" i="1"/>
  <c r="V62" i="1" s="1"/>
  <c r="U35" i="1"/>
  <c r="U63" i="1" s="1"/>
  <c r="T48" i="1"/>
  <c r="T62" i="1" s="1"/>
  <c r="AM25" i="1"/>
  <c r="AL26" i="1"/>
  <c r="AM26" i="1" l="1"/>
  <c r="AN25" i="1"/>
  <c r="AN26" i="1" s="1"/>
</calcChain>
</file>

<file path=xl/sharedStrings.xml><?xml version="1.0" encoding="utf-8"?>
<sst xmlns="http://schemas.openxmlformats.org/spreadsheetml/2006/main" count="29" uniqueCount="17">
  <si>
    <t>dx=dy</t>
  </si>
  <si>
    <t>V_in</t>
  </si>
  <si>
    <t>p_in</t>
  </si>
  <si>
    <t>V_out</t>
  </si>
  <si>
    <t>n_iter</t>
  </si>
  <si>
    <t>N_L</t>
  </si>
  <si>
    <t>N_H</t>
  </si>
  <si>
    <t>start_row</t>
  </si>
  <si>
    <t>start_clmn</t>
  </si>
  <si>
    <t>ψ</t>
  </si>
  <si>
    <t>U</t>
  </si>
  <si>
    <t>V</t>
  </si>
  <si>
    <t>x</t>
  </si>
  <si>
    <t>y</t>
  </si>
  <si>
    <t>Vel</t>
  </si>
  <si>
    <t>p</t>
  </si>
  <si>
    <t>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</si>
</sst>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.00_-;\-* #,##0.00_-;_-* &quot;-&quot;??_-;_-@_-"/>
    <numFmt numFmtId="165" formatCode="0.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3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1" xfId="0" applyNumberFormat="1" applyBorder="1" applyAlignment="1">
      <alignment horizontal="center"/>
    </xf>
    <xf numFmtId="164" fontId="0" fillId="0" borderId="0" xfId="1" applyNumberFormat="1" applyFont="1"/>
    <xf numFmtId="2" fontId="0" fillId="0" borderId="0" xfId="1" applyNumberFormat="1" applyFont="1" applyAlignment="1">
      <alignment horizontal="center"/>
    </xf>
    <xf numFmtId="2" fontId="0" fillId="0" borderId="1" xfId="1" applyNumberFormat="1" applyFont="1" applyBorder="1" applyAlignment="1">
      <alignment horizontal="center"/>
    </xf>
    <xf numFmtId="2" fontId="0" fillId="2" borderId="2" xfId="1" applyNumberFormat="1" applyFont="1" applyFill="1" applyBorder="1" applyAlignment="1">
      <alignment horizontal="center"/>
    </xf>
    <xf numFmtId="2" fontId="0" fillId="2" borderId="1" xfId="1" applyNumberFormat="1" applyFont="1" applyFill="1" applyBorder="1" applyAlignment="1">
      <alignment horizontal="center"/>
    </xf>
    <xf numFmtId="2" fontId="0" fillId="2" borderId="3" xfId="1" applyNumberFormat="1" applyFont="1" applyFill="1" applyBorder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2" fontId="0" fillId="0" borderId="6" xfId="1" applyNumberFormat="1" applyFont="1" applyBorder="1" applyAlignment="1">
      <alignment horizontal="center"/>
    </xf>
    <xf numFmtId="1" fontId="0" fillId="0" borderId="1" xfId="1" applyNumberFormat="1" applyFont="1" applyBorder="1" applyAlignment="1">
      <alignment horizontal="center"/>
    </xf>
    <xf numFmtId="2" fontId="0" fillId="3" borderId="2" xfId="1" applyNumberFormat="1" applyFont="1" applyFill="1" applyBorder="1" applyAlignment="1">
      <alignment horizontal="center"/>
    </xf>
    <xf numFmtId="2" fontId="0" fillId="3" borderId="1" xfId="1" applyNumberFormat="1" applyFont="1" applyFill="1" applyBorder="1" applyAlignment="1">
      <alignment horizontal="center"/>
    </xf>
    <xf numFmtId="2" fontId="0" fillId="3" borderId="0" xfId="1" applyNumberFormat="1" applyFont="1" applyFill="1" applyAlignment="1">
      <alignment horizontal="center"/>
    </xf>
    <xf numFmtId="2" fontId="0" fillId="3" borderId="3" xfId="1" applyNumberFormat="1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ill="1" applyAlignment="1">
      <alignment horizontal="center"/>
    </xf>
    <xf numFmtId="164" fontId="0" fillId="0" borderId="0" xfId="1" applyNumberFormat="1" applyFont="1" applyAlignment="1">
      <alignment horizontal="center"/>
    </xf>
    <xf numFmtId="1" fontId="0" fillId="0" borderId="1" xfId="0" applyNumberFormat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2" fontId="0" fillId="3" borderId="5" xfId="1" applyNumberFormat="1" applyFont="1" applyFill="1" applyBorder="1" applyAlignment="1">
      <alignment horizontal="center"/>
    </xf>
    <xf numFmtId="2" fontId="0" fillId="3" borderId="0" xfId="1" applyNumberFormat="1" applyFont="1" applyFill="1" applyBorder="1" applyAlignment="1">
      <alignment horizontal="center"/>
    </xf>
    <xf numFmtId="164" fontId="0" fillId="3" borderId="0" xfId="1" applyNumberFormat="1" applyFont="1" applyFill="1" applyAlignment="1">
      <alignment horizontal="center"/>
    </xf>
    <xf numFmtId="1" fontId="0" fillId="3" borderId="1" xfId="1" applyNumberFormat="1" applyFont="1" applyFill="1" applyBorder="1" applyAlignment="1">
      <alignment horizontal="center"/>
    </xf>
    <xf numFmtId="2" fontId="0" fillId="3" borderId="4" xfId="1" applyNumberFormat="1" applyFont="1" applyFill="1" applyBorder="1" applyAlignment="1">
      <alignment horizont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colors>
    <mruColors>
      <color rgb="FFEDAFD5"/>
      <color rgb="FFBA6EA8"/>
      <color rgb="FFBAA7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microsoft.com/office/2011/relationships/chartStyle" Target="style1.xml"/><Relationship Id="rId2" Type="http://schemas.microsoft.com/office/2011/relationships/chartColorStyle" Target="colors1.xml"/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458700479775968E-2"/>
          <c:y val="8.9646862324027674E-2"/>
          <c:w val="0.8123891257699567"/>
          <c:h val="0.83915527561132452"/>
        </c:manualLayout>
      </c:layout>
      <c:scatterChart>
        <c:scatterStyle val="smoothMarker"/>
        <c:varyColors val="0"/>
        <c:ser>
          <c:idx val="2"/>
          <c:order val="1"/>
          <c:tx>
            <c:v>верхняя стенка</c:v>
          </c:tx>
          <c:spPr>
            <a:ln w="28575" cap="rnd">
              <a:solidFill>
                <a:srgbClr val="EDAFD5"/>
              </a:solidFill>
              <a:round/>
            </a:ln>
            <a:effectLst/>
          </c:spPr>
          <c:marker>
            <c:symbol val="none"/>
          </c:marker>
          <c:xVal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Лист1!$Z$26:$AN$26</c:f>
              <c:numCache>
                <c:formatCode>0.00</c:formatCode>
                <c:ptCount val="15"/>
                <c:pt idx="0">
                  <c:v>0</c:v>
                </c:pt>
                <c:pt idx="1">
                  <c:v>2.410814293893054E-2</c:v>
                </c:pt>
                <c:pt idx="2">
                  <c:v>5.5728660741879141E-2</c:v>
                </c:pt>
                <c:pt idx="3">
                  <c:v>0.10328888529707911</c:v>
                </c:pt>
                <c:pt idx="4">
                  <c:v>0.17458633039292182</c:v>
                </c:pt>
                <c:pt idx="5">
                  <c:v>0.26984684544091581</c:v>
                </c:pt>
                <c:pt idx="6">
                  <c:v>0.36882014826172965</c:v>
                </c:pt>
                <c:pt idx="7">
                  <c:v>0.4576103363922448</c:v>
                </c:pt>
                <c:pt idx="8">
                  <c:v>0.53132462113018841</c:v>
                </c:pt>
                <c:pt idx="9">
                  <c:v>0.59021014092460977</c:v>
                </c:pt>
                <c:pt idx="10">
                  <c:v>0.63657203924842176</c:v>
                </c:pt>
                <c:pt idx="11">
                  <c:v>0.67321671105310088</c:v>
                </c:pt>
                <c:pt idx="12">
                  <c:v>0.70282181266375121</c:v>
                </c:pt>
                <c:pt idx="13">
                  <c:v>0.72774340476637012</c:v>
                </c:pt>
                <c:pt idx="14">
                  <c:v>0.75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087-480B-8A70-8676A0AF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424832"/>
        <c:axId val="141425408"/>
      </c:scatterChart>
      <c:scatterChart>
        <c:scatterStyle val="smoothMarker"/>
        <c:varyColors val="0"/>
        <c:ser>
          <c:idx val="1"/>
          <c:order val="0"/>
          <c:tx>
            <c:v>нижняя стенка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Лист1!$Z$13:$AN$13</c:f>
              <c:numCache>
                <c:formatCode>0.00</c:formatCode>
                <c:ptCount val="15"/>
                <c:pt idx="0">
                  <c:v>0</c:v>
                </c:pt>
                <c:pt idx="1">
                  <c:v>-3.5737088362511715E-2</c:v>
                </c:pt>
                <c:pt idx="2">
                  <c:v>-9.103395513782743E-2</c:v>
                </c:pt>
                <c:pt idx="3">
                  <c:v>-0.20357095134590053</c:v>
                </c:pt>
                <c:pt idx="4">
                  <c:v>-0.59334658596431833</c:v>
                </c:pt>
                <c:pt idx="5">
                  <c:v>0.30864054344332542</c:v>
                </c:pt>
                <c:pt idx="6">
                  <c:v>0.58970050927455309</c:v>
                </c:pt>
                <c:pt idx="7">
                  <c:v>0.74184411465015732</c:v>
                </c:pt>
                <c:pt idx="8">
                  <c:v>0.85363224091590384</c:v>
                </c:pt>
                <c:pt idx="9">
                  <c:v>0.95233496326050959</c:v>
                </c:pt>
                <c:pt idx="10">
                  <c:v>0.89241443206032267</c:v>
                </c:pt>
                <c:pt idx="11">
                  <c:v>0.84549089981883296</c:v>
                </c:pt>
                <c:pt idx="12">
                  <c:v>0.80891509127744943</c:v>
                </c:pt>
                <c:pt idx="13">
                  <c:v>0.77836959758045854</c:v>
                </c:pt>
                <c:pt idx="14">
                  <c:v>0.75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087-480B-8A70-8676A0AF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597120"/>
        <c:axId val="152140544"/>
      </c:scatterChart>
      <c:valAx>
        <c:axId val="141424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1425408"/>
        <c:crosses val="autoZero"/>
        <c:crossBetween val="midCat"/>
        <c:minorUnit val="1"/>
      </c:valAx>
      <c:valAx>
        <c:axId val="14142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1424832"/>
        <c:crosses val="autoZero"/>
        <c:crossBetween val="midCat"/>
      </c:valAx>
      <c:valAx>
        <c:axId val="15214054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167597120"/>
        <c:crosses val="max"/>
        <c:crossBetween val="midCat"/>
      </c:valAx>
      <c:valAx>
        <c:axId val="167597120"/>
        <c:scaling>
          <c:orientation val="minMax"/>
        </c:scaling>
        <c:delete val="0"/>
        <c:axPos val="t"/>
        <c:numFmt formatCode="0.00" sourceLinked="1"/>
        <c:majorTickMark val="out"/>
        <c:minorTickMark val="none"/>
        <c:tickLblPos val="nextTo"/>
        <c:crossAx val="152140544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156913</xdr:colOff>
      <xdr:row>73</xdr:row>
      <xdr:rowOff>147356</xdr:rowOff>
    </xdr:from>
    <xdr:to>
      <xdr:col>16</xdr:col>
      <xdr:colOff>79386</xdr:colOff>
      <xdr:row>99</xdr:row>
      <xdr:rowOff>99300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6A824009-BFD5-4111-83D5-3AD7A9D18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</cdr:x>
      <cdr:y>0.00455</cdr:y>
    </cdr:from>
    <cdr:to>
      <cdr:x>0.07805</cdr:x>
      <cdr:y>0.10193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0" y="21771"/>
          <a:ext cx="509674" cy="4659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 b="1">
              <a:latin typeface="Arial Black" pitchFamily="34" charset="0"/>
            </a:rPr>
            <a:t>Cp</a:t>
          </a:r>
          <a:endParaRPr lang="ru-RU" sz="1400" b="1">
            <a:latin typeface="Arial Black" pitchFamily="34" charset="0"/>
          </a:endParaRPr>
        </a:p>
      </cdr:txBody>
    </cdr:sp>
  </cdr:relSizeAnchor>
  <cdr:relSizeAnchor xmlns:cdr="http://schemas.openxmlformats.org/drawingml/2006/chartDrawing">
    <cdr:from>
      <cdr:x>0.89282</cdr:x>
      <cdr:y>0.50835</cdr:y>
    </cdr:from>
    <cdr:to>
      <cdr:x>1</cdr:x>
      <cdr:y>0.61982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830206" y="2432551"/>
          <a:ext cx="699896" cy="5334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>
              <a:latin typeface="Arial Black" pitchFamily="34" charset="0"/>
            </a:rPr>
            <a:t>X, </a:t>
          </a:r>
          <a:r>
            <a:rPr lang="ru-RU" sz="1400">
              <a:latin typeface="Arial Black" pitchFamily="34" charset="0"/>
            </a:rPr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N72"/>
  <sheetViews>
    <sheetView tabSelected="1" topLeftCell="B52" zoomScale="70" zoomScaleNormal="70" workbookViewId="0">
      <selection activeCell="AB48" sqref="AB48"/>
    </sheetView>
  </sheetViews>
  <sheetFormatPr defaultRowHeight="14.4" x14ac:dyDescent="0.3"/>
  <cols>
    <col min="1" max="1" width="9.33203125" customWidth="1"/>
    <col min="7" max="7" width="5.109375" bestFit="1" customWidth="1"/>
    <col min="8" max="22" width="6.109375" bestFit="1" customWidth="1"/>
    <col min="23" max="23" width="3.6640625" bestFit="1" customWidth="1"/>
    <col min="25" max="25" width="5.109375" bestFit="1" customWidth="1"/>
    <col min="26" max="40" width="9.109375" bestFit="1" customWidth="1"/>
  </cols>
  <sheetData>
    <row r="1" spans="1:40" ht="15" x14ac:dyDescent="0.25"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</row>
    <row r="2" spans="1:40" ht="15" x14ac:dyDescent="0.25">
      <c r="A2" s="1" t="s">
        <v>0</v>
      </c>
      <c r="B2" s="4">
        <v>0.2</v>
      </c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</row>
    <row r="3" spans="1:40" ht="15" x14ac:dyDescent="0.25">
      <c r="B3" s="3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</row>
    <row r="4" spans="1:40" ht="15" x14ac:dyDescent="0.25">
      <c r="A4" s="1" t="s">
        <v>1</v>
      </c>
      <c r="B4" s="4">
        <v>10</v>
      </c>
      <c r="F4" s="3"/>
      <c r="G4" s="10"/>
      <c r="H4" s="18">
        <v>1</v>
      </c>
      <c r="I4" s="18">
        <v>2</v>
      </c>
      <c r="J4" s="18">
        <v>3</v>
      </c>
      <c r="K4" s="18">
        <v>4</v>
      </c>
      <c r="L4" s="18">
        <v>5</v>
      </c>
      <c r="M4" s="18">
        <v>6</v>
      </c>
      <c r="N4" s="18">
        <v>7</v>
      </c>
      <c r="O4" s="18">
        <v>8</v>
      </c>
      <c r="P4" s="18">
        <v>9</v>
      </c>
      <c r="Q4" s="18">
        <v>10</v>
      </c>
      <c r="R4" s="18">
        <v>11</v>
      </c>
      <c r="S4" s="18">
        <v>12</v>
      </c>
      <c r="T4" s="18">
        <v>13</v>
      </c>
      <c r="U4" s="18">
        <v>14</v>
      </c>
      <c r="V4" s="18">
        <v>15</v>
      </c>
      <c r="W4" s="3"/>
    </row>
    <row r="5" spans="1:40" x14ac:dyDescent="0.3">
      <c r="A5" s="1" t="s">
        <v>2</v>
      </c>
      <c r="B5" s="4">
        <v>101325</v>
      </c>
      <c r="F5" s="23" t="s">
        <v>9</v>
      </c>
      <c r="G5" s="11">
        <f t="shared" ref="G5:G13" si="0">G6+B$2</f>
        <v>1.9999999999999998</v>
      </c>
      <c r="H5" s="19">
        <f t="shared" ref="H5:H8" si="1">H6+$B$4*$B$2</f>
        <v>10</v>
      </c>
      <c r="I5" s="20">
        <f>H5</f>
        <v>10</v>
      </c>
      <c r="J5" s="20">
        <f t="shared" ref="J5:V5" si="2">I5</f>
        <v>10</v>
      </c>
      <c r="K5" s="20">
        <f t="shared" si="2"/>
        <v>10</v>
      </c>
      <c r="L5" s="20">
        <f t="shared" si="2"/>
        <v>10</v>
      </c>
      <c r="M5" s="20">
        <f t="shared" si="2"/>
        <v>10</v>
      </c>
      <c r="N5" s="20">
        <f t="shared" si="2"/>
        <v>10</v>
      </c>
      <c r="O5" s="20">
        <f t="shared" si="2"/>
        <v>10</v>
      </c>
      <c r="P5" s="20">
        <f t="shared" si="2"/>
        <v>10</v>
      </c>
      <c r="Q5" s="20">
        <f t="shared" si="2"/>
        <v>10</v>
      </c>
      <c r="R5" s="20">
        <f t="shared" si="2"/>
        <v>10</v>
      </c>
      <c r="S5" s="20">
        <f t="shared" si="2"/>
        <v>10</v>
      </c>
      <c r="T5" s="20">
        <f t="shared" si="2"/>
        <v>10</v>
      </c>
      <c r="U5" s="20">
        <f t="shared" si="2"/>
        <v>10</v>
      </c>
      <c r="V5" s="20">
        <f t="shared" si="2"/>
        <v>10</v>
      </c>
      <c r="W5" s="4">
        <v>11</v>
      </c>
      <c r="Y5" s="26">
        <v>0</v>
      </c>
      <c r="Z5" s="26">
        <v>1</v>
      </c>
      <c r="AA5" s="26">
        <v>2</v>
      </c>
      <c r="AB5" s="26">
        <v>3</v>
      </c>
      <c r="AC5" s="26">
        <v>4</v>
      </c>
      <c r="AD5" s="26">
        <v>5</v>
      </c>
      <c r="AE5" s="26">
        <v>6</v>
      </c>
      <c r="AF5" s="26">
        <v>7</v>
      </c>
      <c r="AG5" s="26">
        <v>8</v>
      </c>
      <c r="AH5" s="26">
        <v>9</v>
      </c>
      <c r="AI5" s="26">
        <v>10</v>
      </c>
      <c r="AJ5" s="26">
        <v>11</v>
      </c>
      <c r="AK5" s="26">
        <v>12</v>
      </c>
      <c r="AL5" s="26">
        <v>13</v>
      </c>
      <c r="AM5" s="26">
        <v>14</v>
      </c>
      <c r="AN5" s="26">
        <v>15</v>
      </c>
    </row>
    <row r="6" spans="1:40" x14ac:dyDescent="0.3">
      <c r="A6" s="1" t="s">
        <v>3</v>
      </c>
      <c r="B6" s="4">
        <f>((G5-G10)*B4)/(G5-G15)</f>
        <v>5</v>
      </c>
      <c r="F6" s="3"/>
      <c r="G6" s="11">
        <f t="shared" si="0"/>
        <v>1.7999999999999998</v>
      </c>
      <c r="H6" s="19">
        <f t="shared" si="1"/>
        <v>8</v>
      </c>
      <c r="I6" s="20">
        <f>0.25*(I19+J20+I21+H20)</f>
        <v>8.0283446536118888</v>
      </c>
      <c r="J6" s="20">
        <f t="shared" ref="J6:U6" si="3">0.25*(J19+K20+J21+I20)</f>
        <v>8.0648681706752168</v>
      </c>
      <c r="K6" s="20">
        <f t="shared" si="3"/>
        <v>8.1180730284595946</v>
      </c>
      <c r="L6" s="20">
        <f t="shared" si="3"/>
        <v>8.1952172103898704</v>
      </c>
      <c r="M6" s="20">
        <f t="shared" si="3"/>
        <v>8.296886994359987</v>
      </c>
      <c r="N6" s="20">
        <f t="shared" si="3"/>
        <v>8.4102907540808509</v>
      </c>
      <c r="O6" s="20">
        <f t="shared" si="3"/>
        <v>8.5221491515603631</v>
      </c>
      <c r="P6" s="20">
        <f t="shared" si="3"/>
        <v>8.6241902045622538</v>
      </c>
      <c r="Q6" s="20">
        <f t="shared" si="3"/>
        <v>8.7130064632652164</v>
      </c>
      <c r="R6" s="20">
        <f t="shared" si="3"/>
        <v>8.7884288893720282</v>
      </c>
      <c r="S6" s="20">
        <f t="shared" si="3"/>
        <v>8.8521085576106415</v>
      </c>
      <c r="T6" s="20">
        <f t="shared" si="3"/>
        <v>8.9066038242224241</v>
      </c>
      <c r="U6" s="20">
        <f t="shared" si="3"/>
        <v>8.9548688221783639</v>
      </c>
      <c r="V6" s="20">
        <f t="shared" ref="V6:V13" si="4">V7+$B$6*$B$2</f>
        <v>9</v>
      </c>
      <c r="W6" s="4">
        <v>10</v>
      </c>
      <c r="Y6" s="27" t="s">
        <v>9</v>
      </c>
      <c r="Z6" s="5">
        <f>H10</f>
        <v>0</v>
      </c>
      <c r="AA6" s="5">
        <f t="shared" ref="AA6:AD6" si="5">I10</f>
        <v>0</v>
      </c>
      <c r="AB6" s="5">
        <f t="shared" si="5"/>
        <v>0</v>
      </c>
      <c r="AC6" s="5">
        <f t="shared" si="5"/>
        <v>0</v>
      </c>
      <c r="AD6" s="5">
        <f t="shared" si="5"/>
        <v>0</v>
      </c>
      <c r="AE6" s="5">
        <f>M11</f>
        <v>0</v>
      </c>
      <c r="AF6" s="5">
        <f>N12</f>
        <v>0</v>
      </c>
      <c r="AG6" s="5">
        <f>O13</f>
        <v>0</v>
      </c>
      <c r="AH6" s="5">
        <f>P14</f>
        <v>0</v>
      </c>
      <c r="AI6" s="5">
        <f>Q15</f>
        <v>0</v>
      </c>
      <c r="AJ6" s="5">
        <f t="shared" ref="AJ6:AN6" si="6">R15</f>
        <v>0</v>
      </c>
      <c r="AK6" s="5">
        <f t="shared" si="6"/>
        <v>0</v>
      </c>
      <c r="AL6" s="5">
        <f t="shared" si="6"/>
        <v>0</v>
      </c>
      <c r="AM6" s="5">
        <f t="shared" si="6"/>
        <v>0</v>
      </c>
      <c r="AN6" s="5">
        <f t="shared" si="6"/>
        <v>0</v>
      </c>
    </row>
    <row r="7" spans="1:40" ht="15" x14ac:dyDescent="0.25">
      <c r="B7" s="3"/>
      <c r="F7" s="3"/>
      <c r="G7" s="11">
        <f t="shared" si="0"/>
        <v>1.5999999999999999</v>
      </c>
      <c r="H7" s="19">
        <f t="shared" si="1"/>
        <v>6</v>
      </c>
      <c r="I7" s="20">
        <f t="shared" ref="I7:U7" si="7">0.25*(I20+J21+I22+H21)</f>
        <v>6.0485104437723365</v>
      </c>
      <c r="J7" s="20">
        <f t="shared" si="7"/>
        <v>6.1130550006293829</v>
      </c>
      <c r="K7" s="20">
        <f t="shared" si="7"/>
        <v>6.2122067327732937</v>
      </c>
      <c r="L7" s="20">
        <f t="shared" si="7"/>
        <v>6.3659088187399009</v>
      </c>
      <c r="M7" s="20">
        <f t="shared" si="7"/>
        <v>6.5820400129692249</v>
      </c>
      <c r="N7" s="20">
        <f t="shared" si="7"/>
        <v>6.8221268704030518</v>
      </c>
      <c r="O7" s="20">
        <f t="shared" si="7"/>
        <v>7.0541156475983513</v>
      </c>
      <c r="P7" s="20">
        <f t="shared" si="7"/>
        <v>7.2616052034234357</v>
      </c>
      <c r="Q7" s="20">
        <f t="shared" si="7"/>
        <v>7.4394067591265802</v>
      </c>
      <c r="R7" s="20">
        <f t="shared" si="7"/>
        <v>7.5886005366122555</v>
      </c>
      <c r="S7" s="20">
        <f t="shared" si="7"/>
        <v>7.7134015168481191</v>
      </c>
      <c r="T7" s="20">
        <f t="shared" si="7"/>
        <v>7.819437917100692</v>
      </c>
      <c r="U7" s="20">
        <f t="shared" si="7"/>
        <v>7.9128714644910314</v>
      </c>
      <c r="V7" s="20">
        <f t="shared" si="4"/>
        <v>8</v>
      </c>
      <c r="W7" s="4">
        <v>9</v>
      </c>
      <c r="Y7" s="5" t="s">
        <v>12</v>
      </c>
      <c r="Z7" s="5">
        <f>H16</f>
        <v>0</v>
      </c>
      <c r="AA7" s="5">
        <f t="shared" ref="AA7:AN7" si="8">I16</f>
        <v>0.2</v>
      </c>
      <c r="AB7" s="5">
        <f t="shared" si="8"/>
        <v>0.4</v>
      </c>
      <c r="AC7" s="5">
        <f t="shared" si="8"/>
        <v>0.60000000000000009</v>
      </c>
      <c r="AD7" s="5">
        <f t="shared" si="8"/>
        <v>0.8</v>
      </c>
      <c r="AE7" s="5">
        <f t="shared" si="8"/>
        <v>1</v>
      </c>
      <c r="AF7" s="5">
        <f t="shared" si="8"/>
        <v>1.2</v>
      </c>
      <c r="AG7" s="5">
        <f t="shared" si="8"/>
        <v>1.4</v>
      </c>
      <c r="AH7" s="5">
        <f t="shared" si="8"/>
        <v>1.5999999999999999</v>
      </c>
      <c r="AI7" s="5">
        <f t="shared" si="8"/>
        <v>1.7999999999999998</v>
      </c>
      <c r="AJ7" s="5">
        <f t="shared" si="8"/>
        <v>1.9999999999999998</v>
      </c>
      <c r="AK7" s="5">
        <f t="shared" si="8"/>
        <v>2.1999999999999997</v>
      </c>
      <c r="AL7" s="5">
        <f t="shared" si="8"/>
        <v>2.4</v>
      </c>
      <c r="AM7" s="5">
        <f t="shared" si="8"/>
        <v>2.6</v>
      </c>
      <c r="AN7" s="5">
        <f t="shared" si="8"/>
        <v>2.8000000000000003</v>
      </c>
    </row>
    <row r="8" spans="1:40" ht="15" x14ac:dyDescent="0.25">
      <c r="A8" s="1" t="s">
        <v>4</v>
      </c>
      <c r="B8" s="4">
        <v>350</v>
      </c>
      <c r="C8">
        <v>350</v>
      </c>
      <c r="F8" s="3"/>
      <c r="G8" s="11">
        <f t="shared" si="0"/>
        <v>1.4</v>
      </c>
      <c r="H8" s="19">
        <f t="shared" si="1"/>
        <v>4</v>
      </c>
      <c r="I8" s="20">
        <f t="shared" ref="I8:U8" si="9">0.25*(I21+J22+I23+H22)</f>
        <v>4.0526421208480716</v>
      </c>
      <c r="J8" s="20">
        <f t="shared" si="9"/>
        <v>4.1266346552966846</v>
      </c>
      <c r="K8" s="20">
        <f t="shared" si="9"/>
        <v>4.2517900832642983</v>
      </c>
      <c r="L8" s="20">
        <f t="shared" si="9"/>
        <v>4.4741713188272172</v>
      </c>
      <c r="M8" s="20">
        <f t="shared" si="9"/>
        <v>4.8432373683739609</v>
      </c>
      <c r="N8" s="20">
        <f t="shared" si="9"/>
        <v>5.2420610669637835</v>
      </c>
      <c r="O8" s="20">
        <f t="shared" si="9"/>
        <v>5.6105813650065528</v>
      </c>
      <c r="P8" s="20">
        <f t="shared" si="9"/>
        <v>5.9287082024065594</v>
      </c>
      <c r="Q8" s="20">
        <f t="shared" si="9"/>
        <v>6.1944148332054123</v>
      </c>
      <c r="R8" s="20">
        <f t="shared" si="9"/>
        <v>6.4131649811022928</v>
      </c>
      <c r="S8" s="20">
        <f t="shared" si="9"/>
        <v>6.5934590560688875</v>
      </c>
      <c r="T8" s="20">
        <f t="shared" si="9"/>
        <v>6.7448748628411934</v>
      </c>
      <c r="U8" s="20">
        <f t="shared" si="9"/>
        <v>6.8771791186850724</v>
      </c>
      <c r="V8" s="20">
        <f t="shared" si="4"/>
        <v>7</v>
      </c>
      <c r="W8" s="4">
        <v>8</v>
      </c>
      <c r="Y8" s="5" t="s">
        <v>13</v>
      </c>
      <c r="Z8" s="5">
        <f>$G10</f>
        <v>1</v>
      </c>
      <c r="AA8" s="5">
        <f t="shared" ref="AA8:AD8" si="10">$G10</f>
        <v>1</v>
      </c>
      <c r="AB8" s="5">
        <f t="shared" si="10"/>
        <v>1</v>
      </c>
      <c r="AC8" s="5">
        <f t="shared" si="10"/>
        <v>1</v>
      </c>
      <c r="AD8" s="5">
        <f t="shared" si="10"/>
        <v>1</v>
      </c>
      <c r="AE8" s="5">
        <f>G11</f>
        <v>0.8</v>
      </c>
      <c r="AF8" s="5">
        <f>G12</f>
        <v>0.60000000000000009</v>
      </c>
      <c r="AG8" s="5">
        <f>G13</f>
        <v>0.4</v>
      </c>
      <c r="AH8" s="5">
        <f>G14</f>
        <v>0.2</v>
      </c>
      <c r="AI8" s="5">
        <f>$G15</f>
        <v>0</v>
      </c>
      <c r="AJ8" s="5">
        <f t="shared" ref="AJ8:AN8" si="11">$G15</f>
        <v>0</v>
      </c>
      <c r="AK8" s="5">
        <f t="shared" si="11"/>
        <v>0</v>
      </c>
      <c r="AL8" s="5">
        <f t="shared" si="11"/>
        <v>0</v>
      </c>
      <c r="AM8" s="5">
        <f t="shared" si="11"/>
        <v>0</v>
      </c>
      <c r="AN8" s="5">
        <f t="shared" si="11"/>
        <v>0</v>
      </c>
    </row>
    <row r="9" spans="1:40" ht="15" x14ac:dyDescent="0.25">
      <c r="B9" s="3"/>
      <c r="F9" s="3"/>
      <c r="G9" s="11">
        <f t="shared" si="0"/>
        <v>1.2</v>
      </c>
      <c r="H9" s="19">
        <f>H10+$B$4*$B$2</f>
        <v>2</v>
      </c>
      <c r="I9" s="20">
        <f t="shared" ref="I9:U14" si="12">0.25*(I22+J23+I24+H23)</f>
        <v>2.0354233843232645</v>
      </c>
      <c r="J9" s="20">
        <f t="shared" si="12"/>
        <v>2.0890514164449869</v>
      </c>
      <c r="K9" s="20">
        <f t="shared" si="12"/>
        <v>2.1941476261599986</v>
      </c>
      <c r="L9" s="20">
        <f t="shared" si="12"/>
        <v>2.4357490049307087</v>
      </c>
      <c r="M9" s="20">
        <f t="shared" si="12"/>
        <v>3.0746770747356198</v>
      </c>
      <c r="N9" s="20">
        <f t="shared" si="12"/>
        <v>3.692298664071568</v>
      </c>
      <c r="O9" s="20">
        <f t="shared" si="12"/>
        <v>4.2174405430575188</v>
      </c>
      <c r="P9" s="20">
        <f t="shared" si="12"/>
        <v>4.6482314079908384</v>
      </c>
      <c r="Q9" s="20">
        <f t="shared" si="12"/>
        <v>4.9963793901862186</v>
      </c>
      <c r="R9" s="20">
        <f t="shared" si="12"/>
        <v>5.2761854985226133</v>
      </c>
      <c r="S9" s="20">
        <f t="shared" si="12"/>
        <v>5.5023948634839446</v>
      </c>
      <c r="T9" s="20">
        <f t="shared" si="12"/>
        <v>5.6894233595101245</v>
      </c>
      <c r="U9" s="20">
        <f t="shared" si="12"/>
        <v>5.8509701474080664</v>
      </c>
      <c r="V9" s="20">
        <f t="shared" si="4"/>
        <v>6</v>
      </c>
      <c r="W9" s="4">
        <v>7</v>
      </c>
      <c r="Y9" s="5" t="s">
        <v>10</v>
      </c>
      <c r="Z9" s="5">
        <f>H38</f>
        <v>10</v>
      </c>
      <c r="AA9" s="5">
        <f>I38</f>
        <v>10.177116921616323</v>
      </c>
      <c r="AB9" s="5">
        <f t="shared" ref="AB9:AD9" si="13">J38</f>
        <v>10.445257082224934</v>
      </c>
      <c r="AC9" s="5">
        <f t="shared" si="13"/>
        <v>10.970738130799992</v>
      </c>
      <c r="AD9" s="5">
        <f t="shared" si="13"/>
        <v>12.178745024653542</v>
      </c>
      <c r="AE9" s="5">
        <f>M39</f>
        <v>6.6371163078312119</v>
      </c>
      <c r="AF9" s="5">
        <f>N40</f>
        <v>5.0084561265923666</v>
      </c>
      <c r="AG9" s="5">
        <f>O41</f>
        <v>3.9931586871215652</v>
      </c>
      <c r="AH9" s="5">
        <f>P42</f>
        <v>3.1416989407734621</v>
      </c>
      <c r="AI9" s="5">
        <f t="shared" ref="AI9:AM9" si="14">Q43</f>
        <v>2.1832323911911389</v>
      </c>
      <c r="AJ9" s="5">
        <f t="shared" si="14"/>
        <v>3.2800239014342507</v>
      </c>
      <c r="AK9" s="5">
        <f t="shared" si="14"/>
        <v>3.9307645589770561</v>
      </c>
      <c r="AL9" s="5">
        <f t="shared" si="14"/>
        <v>4.3713259855868687</v>
      </c>
      <c r="AM9" s="5">
        <f t="shared" si="14"/>
        <v>4.7077638260594679</v>
      </c>
      <c r="AN9" s="5">
        <f>V43</f>
        <v>5</v>
      </c>
    </row>
    <row r="10" spans="1:40" ht="15" x14ac:dyDescent="0.25">
      <c r="A10" s="1" t="s">
        <v>5</v>
      </c>
      <c r="B10" s="4">
        <v>15</v>
      </c>
      <c r="F10" s="3"/>
      <c r="G10" s="11">
        <f t="shared" si="0"/>
        <v>1</v>
      </c>
      <c r="H10" s="19">
        <v>0</v>
      </c>
      <c r="I10" s="20">
        <v>0</v>
      </c>
      <c r="J10" s="20">
        <v>0</v>
      </c>
      <c r="K10" s="20">
        <v>0</v>
      </c>
      <c r="L10" s="20">
        <v>0</v>
      </c>
      <c r="M10" s="20">
        <f t="shared" si="12"/>
        <v>1.3274232615662425</v>
      </c>
      <c r="N10" s="20">
        <f t="shared" si="12"/>
        <v>2.2350159715293505</v>
      </c>
      <c r="O10" s="20">
        <f t="shared" si="12"/>
        <v>2.9186507351611177</v>
      </c>
      <c r="P10" s="20">
        <f t="shared" si="12"/>
        <v>3.4503974963130584</v>
      </c>
      <c r="Q10" s="20">
        <f t="shared" si="12"/>
        <v>3.8666858210260093</v>
      </c>
      <c r="R10" s="20">
        <f t="shared" si="12"/>
        <v>4.1928027593179982</v>
      </c>
      <c r="S10" s="20">
        <f t="shared" si="12"/>
        <v>4.4505115398341548</v>
      </c>
      <c r="T10" s="20">
        <f t="shared" si="12"/>
        <v>4.6594535643072952</v>
      </c>
      <c r="U10" s="20">
        <f t="shared" si="12"/>
        <v>4.8372781114370671</v>
      </c>
      <c r="V10" s="20">
        <f t="shared" si="4"/>
        <v>5</v>
      </c>
      <c r="W10" s="4">
        <v>6</v>
      </c>
      <c r="Y10" s="5" t="s">
        <v>11</v>
      </c>
      <c r="Z10" s="5">
        <f>H52</f>
        <v>0</v>
      </c>
      <c r="AA10" s="5">
        <f t="shared" ref="AA10:AD10" si="15">I52</f>
        <v>0</v>
      </c>
      <c r="AB10" s="5">
        <f t="shared" si="15"/>
        <v>0</v>
      </c>
      <c r="AC10" s="5">
        <f t="shared" si="15"/>
        <v>0</v>
      </c>
      <c r="AD10" s="5">
        <f t="shared" si="15"/>
        <v>-3.3185581539156059</v>
      </c>
      <c r="AE10" s="5">
        <f>M53</f>
        <v>-5.0084561265923666</v>
      </c>
      <c r="AF10" s="5">
        <f>N54</f>
        <v>-3.9931586871215652</v>
      </c>
      <c r="AG10" s="5">
        <f>O55</f>
        <v>-3.1416989407734621</v>
      </c>
      <c r="AH10" s="5">
        <f>P56</f>
        <v>-2.1832323911911389</v>
      </c>
      <c r="AI10" s="5">
        <f>Q57</f>
        <v>0</v>
      </c>
      <c r="AJ10" s="5">
        <f t="shared" ref="AJ10:AN10" si="16">R57</f>
        <v>0</v>
      </c>
      <c r="AK10" s="5">
        <f t="shared" si="16"/>
        <v>0</v>
      </c>
      <c r="AL10" s="5">
        <f t="shared" si="16"/>
        <v>0</v>
      </c>
      <c r="AM10" s="5">
        <f t="shared" si="16"/>
        <v>0</v>
      </c>
      <c r="AN10" s="5">
        <f t="shared" si="16"/>
        <v>0</v>
      </c>
    </row>
    <row r="11" spans="1:40" ht="15" x14ac:dyDescent="0.25">
      <c r="A11" s="1" t="s">
        <v>6</v>
      </c>
      <c r="B11" s="4">
        <v>11</v>
      </c>
      <c r="F11" s="3"/>
      <c r="G11" s="11">
        <f t="shared" si="0"/>
        <v>0.8</v>
      </c>
      <c r="H11" s="21"/>
      <c r="I11" s="21"/>
      <c r="J11" s="21"/>
      <c r="K11" s="21"/>
      <c r="L11" s="21"/>
      <c r="M11" s="20">
        <v>0</v>
      </c>
      <c r="N11" s="20">
        <f t="shared" si="12"/>
        <v>1.0016912253184733</v>
      </c>
      <c r="O11" s="20">
        <f t="shared" si="12"/>
        <v>1.7717489297445432</v>
      </c>
      <c r="P11" s="20">
        <f t="shared" si="12"/>
        <v>2.3680220210742684</v>
      </c>
      <c r="Q11" s="20">
        <f t="shared" si="12"/>
        <v>2.8271636382867635</v>
      </c>
      <c r="R11" s="20">
        <f t="shared" si="12"/>
        <v>3.1778281778892143</v>
      </c>
      <c r="S11" s="20">
        <f t="shared" si="12"/>
        <v>3.4473949722273822</v>
      </c>
      <c r="T11" s="20">
        <f t="shared" si="12"/>
        <v>3.660601246447837</v>
      </c>
      <c r="U11" s="20">
        <f t="shared" si="12"/>
        <v>3.838688734032905</v>
      </c>
      <c r="V11" s="20">
        <f t="shared" si="4"/>
        <v>4</v>
      </c>
      <c r="W11" s="4">
        <v>5</v>
      </c>
      <c r="Y11" s="5" t="s">
        <v>14</v>
      </c>
      <c r="Z11" s="5">
        <f>((Z9)^2+(Z10)^2)^0.5</f>
        <v>10</v>
      </c>
      <c r="AA11" s="5">
        <f t="shared" ref="AA11:AN11" si="17">((AA9)^2+(AA10)^2)^0.5</f>
        <v>10.177116921616323</v>
      </c>
      <c r="AB11" s="5">
        <f t="shared" si="17"/>
        <v>10.445257082224934</v>
      </c>
      <c r="AC11" s="5">
        <f t="shared" si="17"/>
        <v>10.970738130799992</v>
      </c>
      <c r="AD11" s="5">
        <f t="shared" si="17"/>
        <v>12.622783314168201</v>
      </c>
      <c r="AE11" s="5">
        <f t="shared" si="17"/>
        <v>8.3148028031745671</v>
      </c>
      <c r="AF11" s="5">
        <f t="shared" si="17"/>
        <v>6.4054624401783071</v>
      </c>
      <c r="AG11" s="5">
        <f t="shared" si="17"/>
        <v>5.0809043028767542</v>
      </c>
      <c r="AH11" s="5">
        <f t="shared" si="17"/>
        <v>3.8258039558246151</v>
      </c>
      <c r="AI11" s="5">
        <f t="shared" si="17"/>
        <v>2.1832323911911389</v>
      </c>
      <c r="AJ11" s="5">
        <f t="shared" si="17"/>
        <v>3.2800239014342507</v>
      </c>
      <c r="AK11" s="5">
        <f t="shared" si="17"/>
        <v>3.9307645589770561</v>
      </c>
      <c r="AL11" s="5">
        <f t="shared" si="17"/>
        <v>4.3713259855868687</v>
      </c>
      <c r="AM11" s="5">
        <f t="shared" si="17"/>
        <v>4.7077638260594679</v>
      </c>
      <c r="AN11" s="5">
        <f t="shared" si="17"/>
        <v>5</v>
      </c>
    </row>
    <row r="12" spans="1:40" ht="15" x14ac:dyDescent="0.25">
      <c r="A12" s="1" t="s">
        <v>7</v>
      </c>
      <c r="B12" s="4">
        <v>15</v>
      </c>
      <c r="F12" s="24"/>
      <c r="G12" s="11">
        <f t="shared" si="0"/>
        <v>0.60000000000000009</v>
      </c>
      <c r="H12" s="21"/>
      <c r="I12" s="21"/>
      <c r="J12" s="21"/>
      <c r="K12" s="21"/>
      <c r="L12" s="21"/>
      <c r="M12" s="21"/>
      <c r="N12" s="20">
        <v>0</v>
      </c>
      <c r="O12" s="20">
        <f t="shared" si="12"/>
        <v>0.79863173742431304</v>
      </c>
      <c r="P12" s="20">
        <f t="shared" si="12"/>
        <v>1.4227780199527089</v>
      </c>
      <c r="Q12" s="20">
        <f t="shared" si="12"/>
        <v>1.8961185331575621</v>
      </c>
      <c r="R12" s="20">
        <f t="shared" si="12"/>
        <v>2.2439513417247152</v>
      </c>
      <c r="S12" s="20">
        <f t="shared" si="12"/>
        <v>2.5006389247383214</v>
      </c>
      <c r="T12" s="20">
        <f t="shared" si="12"/>
        <v>2.6968677152237666</v>
      </c>
      <c r="U12" s="20">
        <f t="shared" si="12"/>
        <v>2.8568755782467177</v>
      </c>
      <c r="V12" s="20">
        <f t="shared" si="4"/>
        <v>3</v>
      </c>
      <c r="W12" s="4">
        <v>4</v>
      </c>
      <c r="Y12" s="5" t="s">
        <v>15</v>
      </c>
      <c r="Z12" s="8">
        <f>B5</f>
        <v>101325</v>
      </c>
      <c r="AA12" s="8">
        <f>(Z12+(Z11^2)/2)-(AA11^2)/2</f>
        <v>101323.21314558187</v>
      </c>
      <c r="AB12" s="8">
        <f t="shared" ref="AB12:AN12" si="18">(AA12+(AA11^2)/2)-(AB11^2)/2</f>
        <v>101320.44830224311</v>
      </c>
      <c r="AC12" s="8">
        <f t="shared" si="18"/>
        <v>101314.8214524327</v>
      </c>
      <c r="AD12" s="8">
        <f t="shared" si="18"/>
        <v>101295.33267070178</v>
      </c>
      <c r="AE12" s="8">
        <f t="shared" si="18"/>
        <v>101340.43202717217</v>
      </c>
      <c r="AF12" s="8">
        <f t="shared" si="18"/>
        <v>101354.48502546373</v>
      </c>
      <c r="AG12" s="8">
        <f t="shared" si="18"/>
        <v>101362.09220573251</v>
      </c>
      <c r="AH12" s="8">
        <f t="shared" si="18"/>
        <v>101367.6816120458</v>
      </c>
      <c r="AI12" s="8">
        <f t="shared" si="18"/>
        <v>101372.61674816303</v>
      </c>
      <c r="AJ12" s="8">
        <f t="shared" si="18"/>
        <v>101369.62072160302</v>
      </c>
      <c r="AK12" s="8">
        <f t="shared" si="18"/>
        <v>101367.27454499094</v>
      </c>
      <c r="AL12" s="8">
        <f t="shared" si="18"/>
        <v>101365.44575456387</v>
      </c>
      <c r="AM12" s="8">
        <f t="shared" si="18"/>
        <v>101363.91847987902</v>
      </c>
      <c r="AN12" s="8">
        <f t="shared" si="18"/>
        <v>101362.5</v>
      </c>
    </row>
    <row r="13" spans="1:40" ht="15" x14ac:dyDescent="0.25">
      <c r="A13" s="1" t="s">
        <v>8</v>
      </c>
      <c r="B13" s="4">
        <v>6</v>
      </c>
      <c r="F13" s="3"/>
      <c r="G13" s="11">
        <f t="shared" si="0"/>
        <v>0.4</v>
      </c>
      <c r="H13" s="21"/>
      <c r="I13" s="21"/>
      <c r="J13" s="21"/>
      <c r="K13" s="21"/>
      <c r="L13" s="21"/>
      <c r="M13" s="21"/>
      <c r="N13" s="21"/>
      <c r="O13" s="20">
        <v>0</v>
      </c>
      <c r="P13" s="20">
        <f t="shared" si="12"/>
        <v>0.62833978815469249</v>
      </c>
      <c r="Q13" s="20">
        <f t="shared" si="12"/>
        <v>1.090581132666061</v>
      </c>
      <c r="R13" s="20">
        <f t="shared" si="12"/>
        <v>1.4012197311137617</v>
      </c>
      <c r="S13" s="20">
        <f t="shared" si="12"/>
        <v>1.6143416697774211</v>
      </c>
      <c r="T13" s="20">
        <f t="shared" si="12"/>
        <v>1.7693551114621906</v>
      </c>
      <c r="U13" s="20">
        <f t="shared" si="12"/>
        <v>1.8919458637302005</v>
      </c>
      <c r="V13" s="20">
        <f t="shared" si="4"/>
        <v>2</v>
      </c>
      <c r="W13" s="4">
        <v>3</v>
      </c>
      <c r="Y13" s="5" t="s">
        <v>16</v>
      </c>
      <c r="Z13" s="5">
        <f>(Z12-$B$5)/(($B$4^2)/2)</f>
        <v>0</v>
      </c>
      <c r="AA13" s="5">
        <f t="shared" ref="AA13:AN13" si="19">(AA12-$B$5)/(($B$4^2)/2)</f>
        <v>-3.5737088362511715E-2</v>
      </c>
      <c r="AB13" s="5">
        <f t="shared" si="19"/>
        <v>-9.103395513782743E-2</v>
      </c>
      <c r="AC13" s="5">
        <f t="shared" si="19"/>
        <v>-0.20357095134590053</v>
      </c>
      <c r="AD13" s="5">
        <f t="shared" si="19"/>
        <v>-0.59334658596431833</v>
      </c>
      <c r="AE13" s="5">
        <f t="shared" si="19"/>
        <v>0.30864054344332542</v>
      </c>
      <c r="AF13" s="5">
        <f t="shared" si="19"/>
        <v>0.58970050927455309</v>
      </c>
      <c r="AG13" s="5">
        <f t="shared" si="19"/>
        <v>0.74184411465015732</v>
      </c>
      <c r="AH13" s="5">
        <f t="shared" si="19"/>
        <v>0.85363224091590384</v>
      </c>
      <c r="AI13" s="5">
        <f t="shared" si="19"/>
        <v>0.95233496326050959</v>
      </c>
      <c r="AJ13" s="5">
        <f t="shared" si="19"/>
        <v>0.89241443206032267</v>
      </c>
      <c r="AK13" s="5">
        <f t="shared" si="19"/>
        <v>0.84549089981883296</v>
      </c>
      <c r="AL13" s="5">
        <f t="shared" si="19"/>
        <v>0.80891509127744943</v>
      </c>
      <c r="AM13" s="5">
        <f t="shared" si="19"/>
        <v>0.77836959758045854</v>
      </c>
      <c r="AN13" s="5">
        <f t="shared" si="19"/>
        <v>0.75</v>
      </c>
    </row>
    <row r="14" spans="1:40" x14ac:dyDescent="0.3">
      <c r="A14" s="2" t="s">
        <v>9</v>
      </c>
      <c r="B14" s="4">
        <v>0</v>
      </c>
      <c r="F14" s="3"/>
      <c r="G14" s="11">
        <f>G15+B$2</f>
        <v>0.2</v>
      </c>
      <c r="H14" s="21"/>
      <c r="I14" s="21"/>
      <c r="J14" s="21"/>
      <c r="K14" s="21"/>
      <c r="L14" s="21"/>
      <c r="M14" s="21"/>
      <c r="N14" s="21"/>
      <c r="O14" s="21"/>
      <c r="P14" s="20">
        <v>0</v>
      </c>
      <c r="Q14" s="20">
        <f t="shared" si="12"/>
        <v>0.43664647823822778</v>
      </c>
      <c r="R14" s="20">
        <f t="shared" si="12"/>
        <v>0.65600478028685016</v>
      </c>
      <c r="S14" s="20">
        <f t="shared" si="12"/>
        <v>0.78615291179541125</v>
      </c>
      <c r="T14" s="20">
        <f t="shared" si="12"/>
        <v>0.87426519711737383</v>
      </c>
      <c r="U14" s="20">
        <f t="shared" si="12"/>
        <v>0.94155276521189357</v>
      </c>
      <c r="V14" s="20">
        <f>V15+$B$6*$B$2</f>
        <v>1</v>
      </c>
      <c r="W14" s="4">
        <v>2</v>
      </c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</row>
    <row r="15" spans="1:40" ht="15" x14ac:dyDescent="0.25">
      <c r="F15" s="3"/>
      <c r="G15" s="11">
        <v>0</v>
      </c>
      <c r="H15" s="21"/>
      <c r="I15" s="21"/>
      <c r="J15" s="21"/>
      <c r="K15" s="21"/>
      <c r="L15" s="21"/>
      <c r="M15" s="21"/>
      <c r="N15" s="21"/>
      <c r="O15" s="21"/>
      <c r="P15" s="21"/>
      <c r="Q15" s="22">
        <v>0</v>
      </c>
      <c r="R15" s="22">
        <v>0</v>
      </c>
      <c r="S15" s="22">
        <v>0</v>
      </c>
      <c r="T15" s="22">
        <v>0</v>
      </c>
      <c r="U15" s="22">
        <v>0</v>
      </c>
      <c r="V15" s="22">
        <v>0</v>
      </c>
      <c r="W15" s="4">
        <v>1</v>
      </c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</row>
    <row r="16" spans="1:40" ht="15" x14ac:dyDescent="0.25">
      <c r="F16" s="3"/>
      <c r="G16" s="10"/>
      <c r="H16" s="11">
        <v>0</v>
      </c>
      <c r="I16" s="11">
        <f>H16+$B$2</f>
        <v>0.2</v>
      </c>
      <c r="J16" s="11">
        <f t="shared" ref="J16:V16" si="20">I16+$B$2</f>
        <v>0.4</v>
      </c>
      <c r="K16" s="11">
        <f t="shared" si="20"/>
        <v>0.60000000000000009</v>
      </c>
      <c r="L16" s="11">
        <f t="shared" si="20"/>
        <v>0.8</v>
      </c>
      <c r="M16" s="11">
        <f t="shared" si="20"/>
        <v>1</v>
      </c>
      <c r="N16" s="11">
        <f t="shared" si="20"/>
        <v>1.2</v>
      </c>
      <c r="O16" s="11">
        <f t="shared" si="20"/>
        <v>1.4</v>
      </c>
      <c r="P16" s="11">
        <f t="shared" si="20"/>
        <v>1.5999999999999999</v>
      </c>
      <c r="Q16" s="11">
        <f t="shared" si="20"/>
        <v>1.7999999999999998</v>
      </c>
      <c r="R16" s="11">
        <f t="shared" si="20"/>
        <v>1.9999999999999998</v>
      </c>
      <c r="S16" s="11">
        <f t="shared" si="20"/>
        <v>2.1999999999999997</v>
      </c>
      <c r="T16" s="11">
        <f t="shared" si="20"/>
        <v>2.4</v>
      </c>
      <c r="U16" s="11">
        <f t="shared" si="20"/>
        <v>2.6</v>
      </c>
      <c r="V16" s="11">
        <f t="shared" si="20"/>
        <v>2.8000000000000003</v>
      </c>
      <c r="W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</row>
    <row r="17" spans="6:40" ht="15" x14ac:dyDescent="0.25">
      <c r="F17" s="3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</row>
    <row r="18" spans="6:40" ht="15" x14ac:dyDescent="0.25">
      <c r="F18" s="3"/>
      <c r="G18" s="10"/>
      <c r="H18" s="18">
        <v>1</v>
      </c>
      <c r="I18" s="18">
        <v>2</v>
      </c>
      <c r="J18" s="18">
        <v>3</v>
      </c>
      <c r="K18" s="18">
        <v>4</v>
      </c>
      <c r="L18" s="18">
        <v>5</v>
      </c>
      <c r="M18" s="18">
        <v>6</v>
      </c>
      <c r="N18" s="18">
        <v>7</v>
      </c>
      <c r="O18" s="18">
        <v>8</v>
      </c>
      <c r="P18" s="18">
        <v>9</v>
      </c>
      <c r="Q18" s="18">
        <v>10</v>
      </c>
      <c r="R18" s="18">
        <v>11</v>
      </c>
      <c r="S18" s="18">
        <v>12</v>
      </c>
      <c r="T18" s="18">
        <v>13</v>
      </c>
      <c r="U18" s="18">
        <v>14</v>
      </c>
      <c r="V18" s="18">
        <v>15</v>
      </c>
      <c r="W18" s="6"/>
      <c r="Y18" s="26">
        <v>0</v>
      </c>
      <c r="Z18" s="26">
        <v>1</v>
      </c>
      <c r="AA18" s="26">
        <v>2</v>
      </c>
      <c r="AB18" s="26">
        <v>3</v>
      </c>
      <c r="AC18" s="26">
        <v>4</v>
      </c>
      <c r="AD18" s="26">
        <v>5</v>
      </c>
      <c r="AE18" s="26">
        <v>6</v>
      </c>
      <c r="AF18" s="26">
        <v>7</v>
      </c>
      <c r="AG18" s="26">
        <v>8</v>
      </c>
      <c r="AH18" s="26">
        <v>9</v>
      </c>
      <c r="AI18" s="26">
        <v>10</v>
      </c>
      <c r="AJ18" s="26">
        <v>11</v>
      </c>
      <c r="AK18" s="26">
        <v>12</v>
      </c>
      <c r="AL18" s="26">
        <v>13</v>
      </c>
      <c r="AM18" s="26">
        <v>14</v>
      </c>
      <c r="AN18" s="26">
        <v>15</v>
      </c>
    </row>
    <row r="19" spans="6:40" x14ac:dyDescent="0.3">
      <c r="F19" s="3"/>
      <c r="G19" s="11">
        <f t="shared" ref="G19:G27" si="21">G20+B$2</f>
        <v>1.9999999999999998</v>
      </c>
      <c r="H19" s="12">
        <v>10</v>
      </c>
      <c r="I19" s="13">
        <v>10</v>
      </c>
      <c r="J19" s="13">
        <v>10</v>
      </c>
      <c r="K19" s="13">
        <v>10</v>
      </c>
      <c r="L19" s="13">
        <v>10</v>
      </c>
      <c r="M19" s="13">
        <v>10</v>
      </c>
      <c r="N19" s="13">
        <v>10</v>
      </c>
      <c r="O19" s="13">
        <v>10</v>
      </c>
      <c r="P19" s="13">
        <v>10</v>
      </c>
      <c r="Q19" s="13">
        <v>10</v>
      </c>
      <c r="R19" s="13">
        <v>10</v>
      </c>
      <c r="S19" s="13">
        <v>10</v>
      </c>
      <c r="T19" s="13">
        <v>10</v>
      </c>
      <c r="U19" s="13">
        <v>10</v>
      </c>
      <c r="V19" s="13">
        <v>10</v>
      </c>
      <c r="W19" s="6"/>
      <c r="Y19" s="27" t="s">
        <v>9</v>
      </c>
      <c r="Z19" s="5">
        <f>H5</f>
        <v>10</v>
      </c>
      <c r="AA19" s="5">
        <f t="shared" ref="AA19:AN19" si="22">I5</f>
        <v>10</v>
      </c>
      <c r="AB19" s="5">
        <f t="shared" si="22"/>
        <v>10</v>
      </c>
      <c r="AC19" s="5">
        <f t="shared" si="22"/>
        <v>10</v>
      </c>
      <c r="AD19" s="5">
        <f t="shared" si="22"/>
        <v>10</v>
      </c>
      <c r="AE19" s="5">
        <f t="shared" si="22"/>
        <v>10</v>
      </c>
      <c r="AF19" s="5">
        <f t="shared" si="22"/>
        <v>10</v>
      </c>
      <c r="AG19" s="5">
        <f t="shared" si="22"/>
        <v>10</v>
      </c>
      <c r="AH19" s="5">
        <f t="shared" si="22"/>
        <v>10</v>
      </c>
      <c r="AI19" s="5">
        <f t="shared" si="22"/>
        <v>10</v>
      </c>
      <c r="AJ19" s="5">
        <f t="shared" si="22"/>
        <v>10</v>
      </c>
      <c r="AK19" s="5">
        <f t="shared" si="22"/>
        <v>10</v>
      </c>
      <c r="AL19" s="5">
        <f t="shared" si="22"/>
        <v>10</v>
      </c>
      <c r="AM19" s="5">
        <f t="shared" si="22"/>
        <v>10</v>
      </c>
      <c r="AN19" s="5">
        <f t="shared" si="22"/>
        <v>10</v>
      </c>
    </row>
    <row r="20" spans="6:40" ht="15" x14ac:dyDescent="0.25">
      <c r="F20" s="3"/>
      <c r="G20" s="11">
        <f t="shared" si="21"/>
        <v>1.7999999999999998</v>
      </c>
      <c r="H20" s="12">
        <v>8</v>
      </c>
      <c r="I20" s="11">
        <v>8.0283446536118888</v>
      </c>
      <c r="J20" s="11">
        <v>8.0648681706752168</v>
      </c>
      <c r="K20" s="11">
        <v>8.1180730284595946</v>
      </c>
      <c r="L20" s="11">
        <v>8.1952172103898704</v>
      </c>
      <c r="M20" s="11">
        <v>8.296886994359987</v>
      </c>
      <c r="N20" s="11">
        <v>8.4102907540808509</v>
      </c>
      <c r="O20" s="11">
        <v>8.5221491515603631</v>
      </c>
      <c r="P20" s="11">
        <v>8.6241902045622538</v>
      </c>
      <c r="Q20" s="11">
        <v>8.7130064632652164</v>
      </c>
      <c r="R20" s="11">
        <v>8.7884288893720282</v>
      </c>
      <c r="S20" s="11">
        <v>8.8521085576106415</v>
      </c>
      <c r="T20" s="11">
        <v>8.9066038242224241</v>
      </c>
      <c r="U20" s="11">
        <v>8.9548688221783639</v>
      </c>
      <c r="V20" s="13">
        <v>9</v>
      </c>
      <c r="W20" s="6"/>
      <c r="Y20" s="5" t="s">
        <v>12</v>
      </c>
      <c r="Z20" s="5">
        <f>H30</f>
        <v>0</v>
      </c>
      <c r="AA20" s="5">
        <f t="shared" ref="AA20:AN20" si="23">I30</f>
        <v>0.2</v>
      </c>
      <c r="AB20" s="5">
        <f t="shared" si="23"/>
        <v>0.4</v>
      </c>
      <c r="AC20" s="5">
        <f t="shared" si="23"/>
        <v>0.60000000000000009</v>
      </c>
      <c r="AD20" s="5">
        <f t="shared" si="23"/>
        <v>0.8</v>
      </c>
      <c r="AE20" s="5">
        <f t="shared" si="23"/>
        <v>1</v>
      </c>
      <c r="AF20" s="5">
        <f t="shared" si="23"/>
        <v>1.2</v>
      </c>
      <c r="AG20" s="5">
        <f t="shared" si="23"/>
        <v>1.4</v>
      </c>
      <c r="AH20" s="5">
        <f t="shared" si="23"/>
        <v>1.5999999999999999</v>
      </c>
      <c r="AI20" s="5">
        <f t="shared" si="23"/>
        <v>1.7999999999999998</v>
      </c>
      <c r="AJ20" s="5">
        <f t="shared" si="23"/>
        <v>1.9999999999999998</v>
      </c>
      <c r="AK20" s="5">
        <f t="shared" si="23"/>
        <v>2.1999999999999997</v>
      </c>
      <c r="AL20" s="5">
        <f t="shared" si="23"/>
        <v>2.4</v>
      </c>
      <c r="AM20" s="5">
        <f t="shared" si="23"/>
        <v>2.6</v>
      </c>
      <c r="AN20" s="5">
        <f t="shared" si="23"/>
        <v>2.8000000000000003</v>
      </c>
    </row>
    <row r="21" spans="6:40" ht="15" x14ac:dyDescent="0.25">
      <c r="F21" s="3"/>
      <c r="G21" s="11">
        <f t="shared" si="21"/>
        <v>1.5999999999999999</v>
      </c>
      <c r="H21" s="12">
        <v>6</v>
      </c>
      <c r="I21" s="11">
        <v>6.0485104437723365</v>
      </c>
      <c r="J21" s="11">
        <v>6.1130550006293829</v>
      </c>
      <c r="K21" s="11">
        <v>6.2122067327732937</v>
      </c>
      <c r="L21" s="11">
        <v>6.3659088187399009</v>
      </c>
      <c r="M21" s="11">
        <v>6.5820400129692249</v>
      </c>
      <c r="N21" s="11">
        <v>6.8221268704030518</v>
      </c>
      <c r="O21" s="11">
        <v>7.0541156475983513</v>
      </c>
      <c r="P21" s="11">
        <v>7.2616052034234357</v>
      </c>
      <c r="Q21" s="11">
        <v>7.4394067591265802</v>
      </c>
      <c r="R21" s="11">
        <v>7.5886005366122555</v>
      </c>
      <c r="S21" s="11">
        <v>7.7134015168481191</v>
      </c>
      <c r="T21" s="11">
        <v>7.819437917100692</v>
      </c>
      <c r="U21" s="11">
        <v>7.9128714644910314</v>
      </c>
      <c r="V21" s="13">
        <v>8</v>
      </c>
      <c r="W21" s="6"/>
      <c r="Y21" s="5" t="s">
        <v>13</v>
      </c>
      <c r="Z21" s="5">
        <f>$G$19</f>
        <v>1.9999999999999998</v>
      </c>
      <c r="AA21" s="5">
        <f t="shared" ref="AA21:AN21" si="24">$G$19</f>
        <v>1.9999999999999998</v>
      </c>
      <c r="AB21" s="5">
        <f t="shared" si="24"/>
        <v>1.9999999999999998</v>
      </c>
      <c r="AC21" s="5">
        <f t="shared" si="24"/>
        <v>1.9999999999999998</v>
      </c>
      <c r="AD21" s="5">
        <f t="shared" si="24"/>
        <v>1.9999999999999998</v>
      </c>
      <c r="AE21" s="5">
        <f t="shared" si="24"/>
        <v>1.9999999999999998</v>
      </c>
      <c r="AF21" s="5">
        <f t="shared" si="24"/>
        <v>1.9999999999999998</v>
      </c>
      <c r="AG21" s="5">
        <f t="shared" si="24"/>
        <v>1.9999999999999998</v>
      </c>
      <c r="AH21" s="5">
        <f t="shared" si="24"/>
        <v>1.9999999999999998</v>
      </c>
      <c r="AI21" s="5">
        <f t="shared" si="24"/>
        <v>1.9999999999999998</v>
      </c>
      <c r="AJ21" s="5">
        <f t="shared" si="24"/>
        <v>1.9999999999999998</v>
      </c>
      <c r="AK21" s="5">
        <f t="shared" si="24"/>
        <v>1.9999999999999998</v>
      </c>
      <c r="AL21" s="5">
        <f t="shared" si="24"/>
        <v>1.9999999999999998</v>
      </c>
      <c r="AM21" s="5">
        <f t="shared" si="24"/>
        <v>1.9999999999999998</v>
      </c>
      <c r="AN21" s="5">
        <f t="shared" si="24"/>
        <v>1.9999999999999998</v>
      </c>
    </row>
    <row r="22" spans="6:40" ht="15" x14ac:dyDescent="0.25">
      <c r="F22" s="3"/>
      <c r="G22" s="11">
        <f t="shared" si="21"/>
        <v>1.4</v>
      </c>
      <c r="H22" s="12">
        <v>4</v>
      </c>
      <c r="I22" s="11">
        <v>4.0526421208480716</v>
      </c>
      <c r="J22" s="11">
        <v>4.1266346552966846</v>
      </c>
      <c r="K22" s="11">
        <v>4.2517900832642983</v>
      </c>
      <c r="L22" s="11">
        <v>4.4741713188272172</v>
      </c>
      <c r="M22" s="11">
        <v>4.8432373683739609</v>
      </c>
      <c r="N22" s="11">
        <v>5.2420610669637835</v>
      </c>
      <c r="O22" s="11">
        <v>5.6105813650065528</v>
      </c>
      <c r="P22" s="11">
        <v>5.9287082024065594</v>
      </c>
      <c r="Q22" s="11">
        <v>6.1944148332054123</v>
      </c>
      <c r="R22" s="11">
        <v>6.4131649811022928</v>
      </c>
      <c r="S22" s="11">
        <v>6.5934590560688875</v>
      </c>
      <c r="T22" s="11">
        <v>6.7448748628411934</v>
      </c>
      <c r="U22" s="11">
        <v>6.8771791186850724</v>
      </c>
      <c r="V22" s="13">
        <v>7</v>
      </c>
      <c r="W22" s="6"/>
      <c r="Y22" s="5" t="s">
        <v>10</v>
      </c>
      <c r="Z22" s="5">
        <f>H34</f>
        <v>10</v>
      </c>
      <c r="AA22" s="5">
        <f t="shared" ref="AA22:AN22" si="25">I34</f>
        <v>9.8787238905691588</v>
      </c>
      <c r="AB22" s="5">
        <f t="shared" si="25"/>
        <v>9.7173624984265423</v>
      </c>
      <c r="AC22" s="5">
        <f t="shared" si="25"/>
        <v>9.4694831680667644</v>
      </c>
      <c r="AD22" s="5">
        <f t="shared" si="25"/>
        <v>9.0852279531502464</v>
      </c>
      <c r="AE22" s="5">
        <f t="shared" si="25"/>
        <v>8.5448999675769368</v>
      </c>
      <c r="AF22" s="5">
        <f t="shared" si="25"/>
        <v>7.9446828239923706</v>
      </c>
      <c r="AG22" s="5">
        <f t="shared" si="25"/>
        <v>7.3647108810041217</v>
      </c>
      <c r="AH22" s="5">
        <f t="shared" si="25"/>
        <v>6.8459869914414107</v>
      </c>
      <c r="AI22" s="5">
        <f t="shared" si="25"/>
        <v>6.4014831021835494</v>
      </c>
      <c r="AJ22" s="5">
        <f t="shared" si="25"/>
        <v>6.0284986584693607</v>
      </c>
      <c r="AK22" s="5">
        <f t="shared" si="25"/>
        <v>5.7164962078797021</v>
      </c>
      <c r="AL22" s="5">
        <f t="shared" si="25"/>
        <v>5.4514052072482695</v>
      </c>
      <c r="AM22" s="5">
        <f t="shared" si="25"/>
        <v>5.2178213387724215</v>
      </c>
      <c r="AN22" s="5">
        <f t="shared" si="25"/>
        <v>5</v>
      </c>
    </row>
    <row r="23" spans="6:40" ht="15" x14ac:dyDescent="0.25">
      <c r="F23" s="3"/>
      <c r="G23" s="11">
        <f t="shared" si="21"/>
        <v>1.2</v>
      </c>
      <c r="H23" s="12">
        <v>2</v>
      </c>
      <c r="I23" s="11">
        <v>2.0354233843232645</v>
      </c>
      <c r="J23" s="11">
        <v>2.0890514164449869</v>
      </c>
      <c r="K23" s="11">
        <v>2.1941476261599986</v>
      </c>
      <c r="L23" s="11">
        <v>2.4357490049307087</v>
      </c>
      <c r="M23" s="11">
        <v>3.0746770747356198</v>
      </c>
      <c r="N23" s="11">
        <v>3.692298664071568</v>
      </c>
      <c r="O23" s="11">
        <v>4.2174405430575188</v>
      </c>
      <c r="P23" s="11">
        <v>4.6482314079908384</v>
      </c>
      <c r="Q23" s="11">
        <v>4.9963793901862186</v>
      </c>
      <c r="R23" s="11">
        <v>5.2761854985226133</v>
      </c>
      <c r="S23" s="11">
        <v>5.5023948634839446</v>
      </c>
      <c r="T23" s="11">
        <v>5.6894233595101245</v>
      </c>
      <c r="U23" s="11">
        <v>5.8509701474080664</v>
      </c>
      <c r="V23" s="13">
        <v>6</v>
      </c>
      <c r="W23" s="6"/>
      <c r="Y23" s="5" t="s">
        <v>11</v>
      </c>
      <c r="Z23" s="5">
        <f>H47</f>
        <v>0</v>
      </c>
      <c r="AA23" s="5">
        <f t="shared" ref="AA23:AN23" si="26">I47</f>
        <v>0</v>
      </c>
      <c r="AB23" s="5">
        <f t="shared" si="26"/>
        <v>0</v>
      </c>
      <c r="AC23" s="5">
        <f t="shared" si="26"/>
        <v>0</v>
      </c>
      <c r="AD23" s="5">
        <f t="shared" si="26"/>
        <v>0</v>
      </c>
      <c r="AE23" s="5">
        <f t="shared" si="26"/>
        <v>0</v>
      </c>
      <c r="AF23" s="5">
        <f t="shared" si="26"/>
        <v>0</v>
      </c>
      <c r="AG23" s="5">
        <f t="shared" si="26"/>
        <v>0</v>
      </c>
      <c r="AH23" s="5">
        <f t="shared" si="26"/>
        <v>0</v>
      </c>
      <c r="AI23" s="5">
        <f t="shared" si="26"/>
        <v>0</v>
      </c>
      <c r="AJ23" s="5">
        <f t="shared" si="26"/>
        <v>0</v>
      </c>
      <c r="AK23" s="5">
        <f t="shared" si="26"/>
        <v>0</v>
      </c>
      <c r="AL23" s="5">
        <f t="shared" si="26"/>
        <v>0</v>
      </c>
      <c r="AM23" s="5">
        <f t="shared" si="26"/>
        <v>0</v>
      </c>
      <c r="AN23" s="5">
        <f t="shared" si="26"/>
        <v>0</v>
      </c>
    </row>
    <row r="24" spans="6:40" ht="15" x14ac:dyDescent="0.25">
      <c r="F24" s="3"/>
      <c r="G24" s="11">
        <f t="shared" si="21"/>
        <v>1</v>
      </c>
      <c r="H24" s="12">
        <v>0</v>
      </c>
      <c r="I24" s="13">
        <v>0</v>
      </c>
      <c r="J24" s="13">
        <v>0</v>
      </c>
      <c r="K24" s="13">
        <v>0</v>
      </c>
      <c r="L24" s="13">
        <v>0</v>
      </c>
      <c r="M24" s="11">
        <v>1.3274232615662425</v>
      </c>
      <c r="N24" s="11">
        <v>2.2350159715293505</v>
      </c>
      <c r="O24" s="11">
        <v>2.9186507351611177</v>
      </c>
      <c r="P24" s="11">
        <v>3.4503974963130584</v>
      </c>
      <c r="Q24" s="11">
        <v>3.8666858210260093</v>
      </c>
      <c r="R24" s="11">
        <v>4.1928027593179982</v>
      </c>
      <c r="S24" s="11">
        <v>4.4505115398341548</v>
      </c>
      <c r="T24" s="11">
        <v>4.6594535643072952</v>
      </c>
      <c r="U24" s="11">
        <v>4.8372781114370671</v>
      </c>
      <c r="V24" s="13">
        <v>5</v>
      </c>
      <c r="W24" s="6"/>
      <c r="Y24" s="5" t="s">
        <v>14</v>
      </c>
      <c r="Z24" s="5">
        <f>((Z22)^2+(Z23)^2)^0.5</f>
        <v>10</v>
      </c>
      <c r="AA24" s="5">
        <f t="shared" ref="AA24" si="27">((AA22)^2+(AA23)^2)^0.5</f>
        <v>9.8787238905691588</v>
      </c>
      <c r="AB24" s="5">
        <f t="shared" ref="AB24" si="28">((AB22)^2+(AB23)^2)^0.5</f>
        <v>9.7173624984265423</v>
      </c>
      <c r="AC24" s="5">
        <f t="shared" ref="AC24" si="29">((AC22)^2+(AC23)^2)^0.5</f>
        <v>9.4694831680667644</v>
      </c>
      <c r="AD24" s="5">
        <f t="shared" ref="AD24" si="30">((AD22)^2+(AD23)^2)^0.5</f>
        <v>9.0852279531502464</v>
      </c>
      <c r="AE24" s="5">
        <f t="shared" ref="AE24" si="31">((AE22)^2+(AE23)^2)^0.5</f>
        <v>8.5448999675769368</v>
      </c>
      <c r="AF24" s="5">
        <f t="shared" ref="AF24" si="32">((AF22)^2+(AF23)^2)^0.5</f>
        <v>7.9446828239923706</v>
      </c>
      <c r="AG24" s="5">
        <f t="shared" ref="AG24" si="33">((AG22)^2+(AG23)^2)^0.5</f>
        <v>7.3647108810041217</v>
      </c>
      <c r="AH24" s="5">
        <f t="shared" ref="AH24" si="34">((AH22)^2+(AH23)^2)^0.5</f>
        <v>6.8459869914414107</v>
      </c>
      <c r="AI24" s="5">
        <f t="shared" ref="AI24" si="35">((AI22)^2+(AI23)^2)^0.5</f>
        <v>6.4014831021835494</v>
      </c>
      <c r="AJ24" s="5">
        <f t="shared" ref="AJ24" si="36">((AJ22)^2+(AJ23)^2)^0.5</f>
        <v>6.0284986584693607</v>
      </c>
      <c r="AK24" s="5">
        <f t="shared" ref="AK24" si="37">((AK22)^2+(AK23)^2)^0.5</f>
        <v>5.7164962078797021</v>
      </c>
      <c r="AL24" s="5">
        <f t="shared" ref="AL24" si="38">((AL22)^2+(AL23)^2)^0.5</f>
        <v>5.4514052072482695</v>
      </c>
      <c r="AM24" s="5">
        <f t="shared" ref="AM24" si="39">((AM22)^2+(AM23)^2)^0.5</f>
        <v>5.2178213387724215</v>
      </c>
      <c r="AN24" s="5">
        <f t="shared" ref="AN24" si="40">((AN22)^2+(AN23)^2)^0.5</f>
        <v>5</v>
      </c>
    </row>
    <row r="25" spans="6:40" ht="15" x14ac:dyDescent="0.25">
      <c r="F25" s="3"/>
      <c r="G25" s="11">
        <f t="shared" si="21"/>
        <v>0.8</v>
      </c>
      <c r="H25" s="10"/>
      <c r="I25" s="10"/>
      <c r="J25" s="10"/>
      <c r="K25" s="10"/>
      <c r="L25" s="10"/>
      <c r="M25" s="13">
        <v>0</v>
      </c>
      <c r="N25" s="11">
        <v>1.0016912253184733</v>
      </c>
      <c r="O25" s="11">
        <v>1.7717489297445432</v>
      </c>
      <c r="P25" s="11">
        <v>2.3680220210742684</v>
      </c>
      <c r="Q25" s="11">
        <v>2.8271636382867635</v>
      </c>
      <c r="R25" s="11">
        <v>3.1778281778892143</v>
      </c>
      <c r="S25" s="11">
        <v>3.4473949722273822</v>
      </c>
      <c r="T25" s="11">
        <v>3.660601246447837</v>
      </c>
      <c r="U25" s="11">
        <v>3.838688734032905</v>
      </c>
      <c r="V25" s="13">
        <v>4</v>
      </c>
      <c r="W25" s="6"/>
      <c r="Y25" s="5" t="s">
        <v>15</v>
      </c>
      <c r="Z25" s="8">
        <f>B5</f>
        <v>101325</v>
      </c>
      <c r="AA25" s="8">
        <f>(Z25+(Z24^2)/2)-(AA24^2)/2</f>
        <v>101326.20540714695</v>
      </c>
      <c r="AB25" s="8">
        <f t="shared" ref="AB25" si="41">(AA25+(AA24^2)/2)-(AB24^2)/2</f>
        <v>101327.78643303709</v>
      </c>
      <c r="AC25" s="8">
        <f t="shared" ref="AC25" si="42">(AB25+(AB24^2)/2)-(AC24^2)/2</f>
        <v>101330.16444426485</v>
      </c>
      <c r="AD25" s="8">
        <f t="shared" ref="AD25" si="43">(AC25+(AC24^2)/2)-(AD24^2)/2</f>
        <v>101333.72931651965</v>
      </c>
      <c r="AE25" s="8">
        <f t="shared" ref="AE25" si="44">(AD25+(AD24^2)/2)-(AE24^2)/2</f>
        <v>101338.49234227205</v>
      </c>
      <c r="AF25" s="8">
        <f t="shared" ref="AF25" si="45">(AE25+(AE24^2)/2)-(AF24^2)/2</f>
        <v>101343.44100741309</v>
      </c>
      <c r="AG25" s="8">
        <f t="shared" ref="AG25" si="46">(AF25+(AF24^2)/2)-(AG24^2)/2</f>
        <v>101347.88051681961</v>
      </c>
      <c r="AH25" s="8">
        <f t="shared" ref="AH25" si="47">(AG25+(AG24^2)/2)-(AH24^2)/2</f>
        <v>101351.56623105651</v>
      </c>
      <c r="AI25" s="8">
        <f t="shared" ref="AI25" si="48">(AH25+(AH24^2)/2)-(AI24^2)/2</f>
        <v>101354.51050704623</v>
      </c>
      <c r="AJ25" s="8">
        <f t="shared" ref="AJ25" si="49">(AI25+(AI24^2)/2)-(AJ24^2)/2</f>
        <v>101356.82860196242</v>
      </c>
      <c r="AK25" s="8">
        <f t="shared" ref="AK25" si="50">(AJ25+(AJ24^2)/2)-(AK24^2)/2</f>
        <v>101358.66083555266</v>
      </c>
      <c r="AL25" s="8">
        <f t="shared" ref="AL25" si="51">(AK25+(AK24^2)/2)-(AL24^2)/2</f>
        <v>101360.14109063319</v>
      </c>
      <c r="AM25" s="8">
        <f t="shared" ref="AM25" si="52">(AL25+(AL24^2)/2)-(AM24^2)/2</f>
        <v>101361.38717023832</v>
      </c>
      <c r="AN25" s="8">
        <f t="shared" ref="AN25" si="53">(AM25+(AM24^2)/2)-(AN24^2)/2</f>
        <v>101362.5</v>
      </c>
    </row>
    <row r="26" spans="6:40" ht="15" x14ac:dyDescent="0.25">
      <c r="F26" s="3"/>
      <c r="G26" s="11">
        <f t="shared" si="21"/>
        <v>0.60000000000000009</v>
      </c>
      <c r="H26" s="10"/>
      <c r="I26" s="10"/>
      <c r="J26" s="10"/>
      <c r="K26" s="10"/>
      <c r="L26" s="10"/>
      <c r="M26" s="10"/>
      <c r="N26" s="13">
        <v>0</v>
      </c>
      <c r="O26" s="11">
        <v>0.79863173742431304</v>
      </c>
      <c r="P26" s="11">
        <v>1.4227780199527089</v>
      </c>
      <c r="Q26" s="11">
        <v>1.8961185331575621</v>
      </c>
      <c r="R26" s="11">
        <v>2.2439513417247152</v>
      </c>
      <c r="S26" s="11">
        <v>2.5006389247383214</v>
      </c>
      <c r="T26" s="11">
        <v>2.6968677152237666</v>
      </c>
      <c r="U26" s="11">
        <v>2.8568755782467177</v>
      </c>
      <c r="V26" s="13">
        <v>3</v>
      </c>
      <c r="W26" s="6"/>
      <c r="Y26" s="5" t="s">
        <v>16</v>
      </c>
      <c r="Z26" s="5">
        <f>(Z25-$B$5)/(($B$4^2)/2)</f>
        <v>0</v>
      </c>
      <c r="AA26" s="5">
        <f t="shared" ref="AA26" si="54">(AA25-$B$5)/(($B$4^2)/2)</f>
        <v>2.410814293893054E-2</v>
      </c>
      <c r="AB26" s="5">
        <f t="shared" ref="AB26" si="55">(AB25-$B$5)/(($B$4^2)/2)</f>
        <v>5.5728660741879141E-2</v>
      </c>
      <c r="AC26" s="5">
        <f t="shared" ref="AC26" si="56">(AC25-$B$5)/(($B$4^2)/2)</f>
        <v>0.10328888529707911</v>
      </c>
      <c r="AD26" s="5">
        <f t="shared" ref="AD26" si="57">(AD25-$B$5)/(($B$4^2)/2)</f>
        <v>0.17458633039292182</v>
      </c>
      <c r="AE26" s="5">
        <f t="shared" ref="AE26" si="58">(AE25-$B$5)/(($B$4^2)/2)</f>
        <v>0.26984684544091581</v>
      </c>
      <c r="AF26" s="5">
        <f t="shared" ref="AF26" si="59">(AF25-$B$5)/(($B$4^2)/2)</f>
        <v>0.36882014826172965</v>
      </c>
      <c r="AG26" s="5">
        <f t="shared" ref="AG26" si="60">(AG25-$B$5)/(($B$4^2)/2)</f>
        <v>0.4576103363922448</v>
      </c>
      <c r="AH26" s="5">
        <f t="shared" ref="AH26" si="61">(AH25-$B$5)/(($B$4^2)/2)</f>
        <v>0.53132462113018841</v>
      </c>
      <c r="AI26" s="5">
        <f t="shared" ref="AI26" si="62">(AI25-$B$5)/(($B$4^2)/2)</f>
        <v>0.59021014092460977</v>
      </c>
      <c r="AJ26" s="5">
        <f t="shared" ref="AJ26" si="63">(AJ25-$B$5)/(($B$4^2)/2)</f>
        <v>0.63657203924842176</v>
      </c>
      <c r="AK26" s="5">
        <f t="shared" ref="AK26" si="64">(AK25-$B$5)/(($B$4^2)/2)</f>
        <v>0.67321671105310088</v>
      </c>
      <c r="AL26" s="5">
        <f t="shared" ref="AL26" si="65">(AL25-$B$5)/(($B$4^2)/2)</f>
        <v>0.70282181266375121</v>
      </c>
      <c r="AM26" s="5">
        <f t="shared" ref="AM26" si="66">(AM25-$B$5)/(($B$4^2)/2)</f>
        <v>0.72774340476637012</v>
      </c>
      <c r="AN26" s="5">
        <f t="shared" ref="AN26" si="67">(AN25-$B$5)/(($B$4^2)/2)</f>
        <v>0.75</v>
      </c>
    </row>
    <row r="27" spans="6:40" ht="15" x14ac:dyDescent="0.25">
      <c r="F27" s="3"/>
      <c r="G27" s="11">
        <f t="shared" si="21"/>
        <v>0.4</v>
      </c>
      <c r="H27" s="10"/>
      <c r="I27" s="10"/>
      <c r="J27" s="10"/>
      <c r="K27" s="10"/>
      <c r="L27" s="10"/>
      <c r="M27" s="10"/>
      <c r="N27" s="10"/>
      <c r="O27" s="13">
        <v>0</v>
      </c>
      <c r="P27" s="11">
        <v>0.62833978815469249</v>
      </c>
      <c r="Q27" s="11">
        <v>1.090581132666061</v>
      </c>
      <c r="R27" s="11">
        <v>1.4012197311137617</v>
      </c>
      <c r="S27" s="11">
        <v>1.6143416697774211</v>
      </c>
      <c r="T27" s="11">
        <v>1.7693551114621906</v>
      </c>
      <c r="U27" s="11">
        <v>1.8919458637302005</v>
      </c>
      <c r="V27" s="13">
        <v>2</v>
      </c>
      <c r="W27" s="6"/>
    </row>
    <row r="28" spans="6:40" ht="15" x14ac:dyDescent="0.25">
      <c r="F28" s="3"/>
      <c r="G28" s="11">
        <f>G29+B$2</f>
        <v>0.2</v>
      </c>
      <c r="H28" s="10"/>
      <c r="I28" s="10"/>
      <c r="J28" s="10"/>
      <c r="K28" s="10"/>
      <c r="L28" s="10"/>
      <c r="M28" s="10"/>
      <c r="N28" s="10"/>
      <c r="O28" s="10"/>
      <c r="P28" s="13">
        <v>0</v>
      </c>
      <c r="Q28" s="11">
        <v>0.43664647823822778</v>
      </c>
      <c r="R28" s="11">
        <v>0.65600478028685016</v>
      </c>
      <c r="S28" s="11">
        <v>0.78615291179541125</v>
      </c>
      <c r="T28" s="11">
        <v>0.87426519711737383</v>
      </c>
      <c r="U28" s="11">
        <v>0.94155276521189357</v>
      </c>
      <c r="V28" s="13">
        <v>1</v>
      </c>
      <c r="W28" s="6"/>
    </row>
    <row r="29" spans="6:40" ht="15" x14ac:dyDescent="0.25">
      <c r="F29" s="3"/>
      <c r="G29" s="11">
        <v>0</v>
      </c>
      <c r="H29" s="10"/>
      <c r="I29" s="10"/>
      <c r="J29" s="10"/>
      <c r="K29" s="10"/>
      <c r="L29" s="10"/>
      <c r="M29" s="10"/>
      <c r="N29" s="10"/>
      <c r="O29" s="10"/>
      <c r="P29" s="10"/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3">
        <v>0</v>
      </c>
      <c r="W29" s="6"/>
    </row>
    <row r="30" spans="6:40" ht="15" x14ac:dyDescent="0.25">
      <c r="F30" s="3"/>
      <c r="G30" s="10"/>
      <c r="H30" s="11">
        <v>0</v>
      </c>
      <c r="I30" s="11">
        <f>H30+$B$2</f>
        <v>0.2</v>
      </c>
      <c r="J30" s="11">
        <f t="shared" ref="J30:V30" si="68">I30+$B$2</f>
        <v>0.4</v>
      </c>
      <c r="K30" s="11">
        <f t="shared" si="68"/>
        <v>0.60000000000000009</v>
      </c>
      <c r="L30" s="11">
        <f t="shared" si="68"/>
        <v>0.8</v>
      </c>
      <c r="M30" s="11">
        <f t="shared" si="68"/>
        <v>1</v>
      </c>
      <c r="N30" s="11">
        <f t="shared" si="68"/>
        <v>1.2</v>
      </c>
      <c r="O30" s="11">
        <f t="shared" si="68"/>
        <v>1.4</v>
      </c>
      <c r="P30" s="11">
        <f t="shared" si="68"/>
        <v>1.5999999999999999</v>
      </c>
      <c r="Q30" s="11">
        <f t="shared" si="68"/>
        <v>1.7999999999999998</v>
      </c>
      <c r="R30" s="11">
        <f t="shared" si="68"/>
        <v>1.9999999999999998</v>
      </c>
      <c r="S30" s="11">
        <f t="shared" si="68"/>
        <v>2.1999999999999997</v>
      </c>
      <c r="T30" s="11">
        <f t="shared" si="68"/>
        <v>2.4</v>
      </c>
      <c r="U30" s="11">
        <f t="shared" si="68"/>
        <v>2.6</v>
      </c>
      <c r="V30" s="11">
        <f t="shared" si="68"/>
        <v>2.8000000000000003</v>
      </c>
      <c r="W30" s="6"/>
    </row>
    <row r="31" spans="6:40" ht="15" x14ac:dyDescent="0.25">
      <c r="F31" s="3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7"/>
    </row>
    <row r="32" spans="6:40" ht="15" x14ac:dyDescent="0.25">
      <c r="F32" s="3"/>
      <c r="G32" s="10"/>
      <c r="H32" s="18">
        <v>1</v>
      </c>
      <c r="I32" s="18">
        <v>2</v>
      </c>
      <c r="J32" s="18">
        <v>3</v>
      </c>
      <c r="K32" s="18">
        <v>4</v>
      </c>
      <c r="L32" s="18">
        <v>5</v>
      </c>
      <c r="M32" s="18">
        <v>6</v>
      </c>
      <c r="N32" s="18">
        <v>7</v>
      </c>
      <c r="O32" s="18">
        <v>8</v>
      </c>
      <c r="P32" s="18">
        <v>9</v>
      </c>
      <c r="Q32" s="18">
        <v>10</v>
      </c>
      <c r="R32" s="18">
        <v>11</v>
      </c>
      <c r="S32" s="18">
        <v>12</v>
      </c>
      <c r="T32" s="18">
        <v>13</v>
      </c>
      <c r="U32" s="18">
        <v>14</v>
      </c>
      <c r="V32" s="18">
        <v>15</v>
      </c>
      <c r="W32" s="6"/>
    </row>
    <row r="33" spans="6:23" ht="15" x14ac:dyDescent="0.25">
      <c r="F33" s="3" t="s">
        <v>10</v>
      </c>
      <c r="G33" s="11">
        <f t="shared" ref="G33:G41" si="69">G34+B$2</f>
        <v>1.9999999999999998</v>
      </c>
      <c r="H33" s="19">
        <f>(H5-H6)/$B$2</f>
        <v>10</v>
      </c>
      <c r="I33" s="19">
        <f t="shared" ref="I33:V33" si="70">(I5-I6)/$B$2</f>
        <v>9.8582767319405562</v>
      </c>
      <c r="J33" s="19">
        <f t="shared" si="70"/>
        <v>9.6756591466239161</v>
      </c>
      <c r="K33" s="19">
        <f t="shared" si="70"/>
        <v>9.4096348577020272</v>
      </c>
      <c r="L33" s="19">
        <f t="shared" si="70"/>
        <v>9.0239139480506481</v>
      </c>
      <c r="M33" s="19">
        <f t="shared" si="70"/>
        <v>8.515565028200065</v>
      </c>
      <c r="N33" s="19">
        <f t="shared" si="70"/>
        <v>7.9485462295957454</v>
      </c>
      <c r="O33" s="19">
        <f t="shared" si="70"/>
        <v>7.3892542421981844</v>
      </c>
      <c r="P33" s="19">
        <f t="shared" si="70"/>
        <v>6.8790489771887309</v>
      </c>
      <c r="Q33" s="19">
        <f t="shared" si="70"/>
        <v>6.4349676836739178</v>
      </c>
      <c r="R33" s="19">
        <f t="shared" si="70"/>
        <v>6.0578555531398592</v>
      </c>
      <c r="S33" s="19">
        <f t="shared" si="70"/>
        <v>5.7394572119467924</v>
      </c>
      <c r="T33" s="19">
        <f t="shared" si="70"/>
        <v>5.4669808788878793</v>
      </c>
      <c r="U33" s="19">
        <f t="shared" si="70"/>
        <v>5.2256558891081806</v>
      </c>
      <c r="V33" s="20">
        <f t="shared" si="70"/>
        <v>5</v>
      </c>
      <c r="W33" s="6"/>
    </row>
    <row r="34" spans="6:23" ht="15" x14ac:dyDescent="0.25">
      <c r="F34" s="3"/>
      <c r="G34" s="11">
        <f t="shared" si="69"/>
        <v>1.7999999999999998</v>
      </c>
      <c r="H34" s="19">
        <f>(H5-H7)/(2*$B$2)</f>
        <v>10</v>
      </c>
      <c r="I34" s="20">
        <f>(I5-I7)/(2*$B$2)</f>
        <v>9.8787238905691588</v>
      </c>
      <c r="J34" s="20">
        <f t="shared" ref="J34:U34" si="71">(J5-J7)/(2*$B$2)</f>
        <v>9.7173624984265423</v>
      </c>
      <c r="K34" s="20">
        <f t="shared" si="71"/>
        <v>9.4694831680667644</v>
      </c>
      <c r="L34" s="20">
        <f t="shared" si="71"/>
        <v>9.0852279531502464</v>
      </c>
      <c r="M34" s="20">
        <f t="shared" ref="M34" si="72">(M5-M7)/(2*$B$2)</f>
        <v>8.5448999675769368</v>
      </c>
      <c r="N34" s="20">
        <f t="shared" si="71"/>
        <v>7.9446828239923706</v>
      </c>
      <c r="O34" s="20">
        <f t="shared" si="71"/>
        <v>7.3647108810041217</v>
      </c>
      <c r="P34" s="20">
        <f t="shared" si="71"/>
        <v>6.8459869914414107</v>
      </c>
      <c r="Q34" s="20">
        <f t="shared" si="71"/>
        <v>6.4014831021835494</v>
      </c>
      <c r="R34" s="20">
        <f t="shared" si="71"/>
        <v>6.0284986584693607</v>
      </c>
      <c r="S34" s="20">
        <f t="shared" si="71"/>
        <v>5.7164962078797021</v>
      </c>
      <c r="T34" s="20">
        <f t="shared" si="71"/>
        <v>5.4514052072482695</v>
      </c>
      <c r="U34" s="20">
        <f t="shared" si="71"/>
        <v>5.2178213387724215</v>
      </c>
      <c r="V34" s="20">
        <f>(V5-V7)/(2*$B$2)</f>
        <v>5</v>
      </c>
      <c r="W34" s="6"/>
    </row>
    <row r="35" spans="6:23" ht="15" x14ac:dyDescent="0.25">
      <c r="F35" s="3"/>
      <c r="G35" s="11">
        <f t="shared" si="69"/>
        <v>1.5999999999999999</v>
      </c>
      <c r="H35" s="19">
        <f t="shared" ref="H35:H37" si="73">(H6-H8)/(2*$B$2)</f>
        <v>10</v>
      </c>
      <c r="I35" s="20">
        <f t="shared" ref="I35:V35" si="74">(I6-I8)/(2*$B$2)</f>
        <v>9.9392563319095419</v>
      </c>
      <c r="J35" s="20">
        <f t="shared" si="74"/>
        <v>9.84558378844633</v>
      </c>
      <c r="K35" s="20">
        <f t="shared" si="74"/>
        <v>9.6657073629882397</v>
      </c>
      <c r="L35" s="20">
        <f t="shared" si="74"/>
        <v>9.302614728906633</v>
      </c>
      <c r="M35" s="20">
        <f t="shared" ref="M35:N35" si="75">(M6-M8)/(2*$B$2)</f>
        <v>8.6341240649650643</v>
      </c>
      <c r="N35" s="20">
        <f t="shared" si="75"/>
        <v>7.9205742177926686</v>
      </c>
      <c r="O35" s="20">
        <f t="shared" si="74"/>
        <v>7.2789194663845258</v>
      </c>
      <c r="P35" s="20">
        <f t="shared" si="74"/>
        <v>6.7387050053892361</v>
      </c>
      <c r="Q35" s="20">
        <f t="shared" si="74"/>
        <v>6.2964790751495103</v>
      </c>
      <c r="R35" s="20">
        <f t="shared" si="74"/>
        <v>5.9381597706743383</v>
      </c>
      <c r="S35" s="20">
        <f t="shared" si="74"/>
        <v>5.6466237538543851</v>
      </c>
      <c r="T35" s="20">
        <f t="shared" si="74"/>
        <v>5.4043224034530768</v>
      </c>
      <c r="U35" s="20">
        <f t="shared" si="74"/>
        <v>5.1942242587332288</v>
      </c>
      <c r="V35" s="20">
        <f t="shared" si="74"/>
        <v>5</v>
      </c>
      <c r="W35" s="6"/>
    </row>
    <row r="36" spans="6:23" ht="15" x14ac:dyDescent="0.25">
      <c r="F36" s="3"/>
      <c r="G36" s="11">
        <f t="shared" si="69"/>
        <v>1.4</v>
      </c>
      <c r="H36" s="19">
        <f t="shared" si="73"/>
        <v>10</v>
      </c>
      <c r="I36" s="20">
        <f t="shared" ref="I36:V36" si="76">(I7-I9)/(2*$B$2)</f>
        <v>10.032717648622679</v>
      </c>
      <c r="J36" s="20">
        <f t="shared" si="76"/>
        <v>10.060008960460989</v>
      </c>
      <c r="K36" s="20">
        <f t="shared" si="76"/>
        <v>10.045147766533237</v>
      </c>
      <c r="L36" s="20">
        <f t="shared" si="76"/>
        <v>9.8253995345229796</v>
      </c>
      <c r="M36" s="20">
        <f t="shared" si="76"/>
        <v>8.7684073455840128</v>
      </c>
      <c r="N36" s="20">
        <f t="shared" ref="N36:O36" si="77">(N7-N9)/(2*$B$2)</f>
        <v>7.8245705158287091</v>
      </c>
      <c r="O36" s="20">
        <f t="shared" si="77"/>
        <v>7.0916877613520812</v>
      </c>
      <c r="P36" s="20">
        <f t="shared" si="76"/>
        <v>6.5334344885814932</v>
      </c>
      <c r="Q36" s="20">
        <f t="shared" si="76"/>
        <v>6.1075684223509041</v>
      </c>
      <c r="R36" s="20">
        <f t="shared" si="76"/>
        <v>5.7810375952241051</v>
      </c>
      <c r="S36" s="20">
        <f t="shared" si="76"/>
        <v>5.5275166334104364</v>
      </c>
      <c r="T36" s="20">
        <f t="shared" si="76"/>
        <v>5.3250363939764185</v>
      </c>
      <c r="U36" s="20">
        <f t="shared" si="76"/>
        <v>5.1547532927074124</v>
      </c>
      <c r="V36" s="20">
        <f t="shared" si="76"/>
        <v>5</v>
      </c>
      <c r="W36" s="6"/>
    </row>
    <row r="37" spans="6:23" ht="15" x14ac:dyDescent="0.25">
      <c r="F37" s="3"/>
      <c r="G37" s="11">
        <f t="shared" si="69"/>
        <v>1.2</v>
      </c>
      <c r="H37" s="19">
        <f t="shared" si="73"/>
        <v>10</v>
      </c>
      <c r="I37" s="20">
        <f t="shared" ref="I37:V37" si="78">(I8-I10)/(2*$B$2)</f>
        <v>10.131605302120178</v>
      </c>
      <c r="J37" s="20">
        <f t="shared" si="78"/>
        <v>10.316586638241711</v>
      </c>
      <c r="K37" s="20">
        <f t="shared" si="78"/>
        <v>10.629475208160745</v>
      </c>
      <c r="L37" s="22">
        <f t="shared" si="78"/>
        <v>11.185428297068043</v>
      </c>
      <c r="M37" s="20">
        <f t="shared" si="78"/>
        <v>8.7895352670192963</v>
      </c>
      <c r="N37" s="20">
        <f t="shared" ref="N37:O37" si="79">(N8-N10)/(2*$B$2)</f>
        <v>7.5176127385860818</v>
      </c>
      <c r="O37" s="20">
        <f t="shared" si="79"/>
        <v>6.729826574613587</v>
      </c>
      <c r="P37" s="20">
        <f t="shared" si="78"/>
        <v>6.1957767652337523</v>
      </c>
      <c r="Q37" s="20">
        <f t="shared" ref="Q37:T42" si="80">(Q8-Q10)/(2*$B$2)</f>
        <v>5.819322530448507</v>
      </c>
      <c r="R37" s="20">
        <f t="shared" si="80"/>
        <v>5.5509055544607362</v>
      </c>
      <c r="S37" s="20">
        <f t="shared" si="80"/>
        <v>5.3573687905868317</v>
      </c>
      <c r="T37" s="20">
        <f t="shared" si="80"/>
        <v>5.2135532463347456</v>
      </c>
      <c r="U37" s="20">
        <f t="shared" si="78"/>
        <v>5.0997525181200132</v>
      </c>
      <c r="V37" s="20">
        <f t="shared" si="78"/>
        <v>5</v>
      </c>
      <c r="W37" s="6"/>
    </row>
    <row r="38" spans="6:23" ht="15" x14ac:dyDescent="0.25">
      <c r="F38" s="3"/>
      <c r="G38" s="11">
        <f t="shared" si="69"/>
        <v>1</v>
      </c>
      <c r="H38" s="19">
        <f>(H9-H10)/($B$2)</f>
        <v>10</v>
      </c>
      <c r="I38" s="19">
        <f t="shared" ref="I38:U43" si="81">(I9-I10)/($B$2)</f>
        <v>10.177116921616323</v>
      </c>
      <c r="J38" s="19">
        <f t="shared" si="81"/>
        <v>10.445257082224934</v>
      </c>
      <c r="K38" s="28">
        <f t="shared" si="81"/>
        <v>10.970738130799992</v>
      </c>
      <c r="L38" s="20">
        <f t="shared" si="81"/>
        <v>12.178745024653542</v>
      </c>
      <c r="M38" s="19">
        <f t="shared" ref="M38" si="82">(M9-M11)/(2*$B$2)</f>
        <v>7.6866926868390495</v>
      </c>
      <c r="N38" s="20">
        <f>(N9-N11)/(2*$B$2)</f>
        <v>6.7265185968827366</v>
      </c>
      <c r="O38" s="20">
        <f t="shared" ref="O38:P38" si="83">(O9-O11)/(2*$B$2)</f>
        <v>6.1142290332824389</v>
      </c>
      <c r="P38" s="20">
        <f t="shared" si="83"/>
        <v>5.7005234672914247</v>
      </c>
      <c r="Q38" s="20">
        <f t="shared" si="80"/>
        <v>5.4230393797486371</v>
      </c>
      <c r="R38" s="20">
        <f t="shared" si="80"/>
        <v>5.2458933015834974</v>
      </c>
      <c r="S38" s="20">
        <f t="shared" si="80"/>
        <v>5.1374997281414059</v>
      </c>
      <c r="T38" s="20">
        <f t="shared" si="80"/>
        <v>5.0720552826557181</v>
      </c>
      <c r="U38" s="20">
        <f t="shared" ref="U38:V38" si="84">(U9-U11)/(2*$B$2)</f>
        <v>5.0307035334379036</v>
      </c>
      <c r="V38" s="20">
        <f t="shared" si="84"/>
        <v>5</v>
      </c>
      <c r="W38" s="6"/>
    </row>
    <row r="39" spans="6:23" ht="15" x14ac:dyDescent="0.25">
      <c r="F39" s="3"/>
      <c r="G39" s="11">
        <f t="shared" si="69"/>
        <v>0.8</v>
      </c>
      <c r="H39" s="21"/>
      <c r="I39" s="21"/>
      <c r="J39" s="21"/>
      <c r="K39" s="21"/>
      <c r="L39" s="29"/>
      <c r="M39" s="20">
        <f t="shared" si="81"/>
        <v>6.6371163078312119</v>
      </c>
      <c r="N39" s="20">
        <f t="shared" ref="N39" si="85">(N10-N12)/(2*$B$2)</f>
        <v>5.587539928823376</v>
      </c>
      <c r="O39" s="20">
        <f t="shared" ref="O39:P39" si="86">(O10-O12)/(2*$B$2)</f>
        <v>5.3000474943420111</v>
      </c>
      <c r="P39" s="20">
        <f t="shared" si="86"/>
        <v>5.069048690900873</v>
      </c>
      <c r="Q39" s="20">
        <f t="shared" si="80"/>
        <v>4.9264182196711177</v>
      </c>
      <c r="R39" s="20">
        <f t="shared" si="80"/>
        <v>4.8721285439832069</v>
      </c>
      <c r="S39" s="20">
        <f t="shared" si="80"/>
        <v>4.8746815377395833</v>
      </c>
      <c r="T39" s="20">
        <f t="shared" si="80"/>
        <v>4.9064646227088211</v>
      </c>
      <c r="U39" s="20">
        <f t="shared" ref="U39:V39" si="87">(U10-U12)/(2*$B$2)</f>
        <v>4.9510063329758731</v>
      </c>
      <c r="V39" s="20">
        <f t="shared" si="87"/>
        <v>5</v>
      </c>
      <c r="W39" s="6"/>
    </row>
    <row r="40" spans="6:23" ht="15" x14ac:dyDescent="0.25">
      <c r="F40" s="3"/>
      <c r="G40" s="11">
        <f t="shared" si="69"/>
        <v>0.60000000000000009</v>
      </c>
      <c r="H40" s="21"/>
      <c r="I40" s="21"/>
      <c r="J40" s="21"/>
      <c r="K40" s="21"/>
      <c r="L40" s="21"/>
      <c r="M40" s="29"/>
      <c r="N40" s="20">
        <f t="shared" si="81"/>
        <v>5.0084561265923666</v>
      </c>
      <c r="O40" s="20">
        <f t="shared" ref="O40:P40" si="88">(O11-O13)/(2*$B$2)</f>
        <v>4.4293723243613581</v>
      </c>
      <c r="P40" s="20">
        <f t="shared" si="88"/>
        <v>4.3492055822989393</v>
      </c>
      <c r="Q40" s="20">
        <f t="shared" si="80"/>
        <v>4.3414562640517556</v>
      </c>
      <c r="R40" s="20">
        <f t="shared" si="80"/>
        <v>4.4415211169386311</v>
      </c>
      <c r="S40" s="20">
        <f t="shared" si="80"/>
        <v>4.5826332561249021</v>
      </c>
      <c r="T40" s="20">
        <f t="shared" si="80"/>
        <v>4.7281153374641161</v>
      </c>
      <c r="U40" s="20">
        <f t="shared" ref="U40:V40" si="89">(U11-U13)/(2*$B$2)</f>
        <v>4.8668571757567607</v>
      </c>
      <c r="V40" s="20">
        <f t="shared" si="89"/>
        <v>5</v>
      </c>
      <c r="W40" s="6"/>
    </row>
    <row r="41" spans="6:23" ht="15" x14ac:dyDescent="0.25">
      <c r="F41" s="3"/>
      <c r="G41" s="11">
        <f t="shared" si="69"/>
        <v>0.4</v>
      </c>
      <c r="H41" s="21"/>
      <c r="I41" s="21"/>
      <c r="J41" s="21"/>
      <c r="K41" s="21"/>
      <c r="L41" s="21"/>
      <c r="M41" s="21"/>
      <c r="N41" s="29"/>
      <c r="O41" s="20">
        <f t="shared" si="81"/>
        <v>3.9931586871215652</v>
      </c>
      <c r="P41" s="20">
        <f t="shared" ref="P41" si="90">(P12-P14)/(2*$B$2)</f>
        <v>3.5569450498817723</v>
      </c>
      <c r="Q41" s="20">
        <f t="shared" si="80"/>
        <v>3.6486801372983355</v>
      </c>
      <c r="R41" s="20">
        <f t="shared" si="80"/>
        <v>3.9698664035946627</v>
      </c>
      <c r="S41" s="20">
        <f t="shared" si="80"/>
        <v>4.2862150323572754</v>
      </c>
      <c r="T41" s="20">
        <f t="shared" si="80"/>
        <v>4.5565062952659812</v>
      </c>
      <c r="U41" s="20">
        <f t="shared" ref="U41:V41" si="91">(U12-U14)/(2*$B$2)</f>
        <v>4.7883070325870598</v>
      </c>
      <c r="V41" s="20">
        <f t="shared" si="91"/>
        <v>5</v>
      </c>
      <c r="W41" s="6"/>
    </row>
    <row r="42" spans="6:23" ht="15" x14ac:dyDescent="0.25">
      <c r="F42" s="3"/>
      <c r="G42" s="11">
        <f>G43+B$2</f>
        <v>0.2</v>
      </c>
      <c r="H42" s="21"/>
      <c r="I42" s="21"/>
      <c r="J42" s="21"/>
      <c r="K42" s="21"/>
      <c r="L42" s="21"/>
      <c r="M42" s="21"/>
      <c r="N42" s="21"/>
      <c r="O42" s="29"/>
      <c r="P42" s="20">
        <f t="shared" si="81"/>
        <v>3.1416989407734621</v>
      </c>
      <c r="Q42" s="20">
        <f t="shared" si="80"/>
        <v>2.7264528316651524</v>
      </c>
      <c r="R42" s="20">
        <f t="shared" si="80"/>
        <v>3.5030493277844044</v>
      </c>
      <c r="S42" s="20">
        <f t="shared" si="80"/>
        <v>4.0358541744435525</v>
      </c>
      <c r="T42" s="20">
        <f t="shared" si="80"/>
        <v>4.4233877786554761</v>
      </c>
      <c r="U42" s="20">
        <f t="shared" ref="U42:V42" si="92">(U13-U15)/(2*$B$2)</f>
        <v>4.7298646593255009</v>
      </c>
      <c r="V42" s="20">
        <f t="shared" si="92"/>
        <v>5</v>
      </c>
      <c r="W42" s="6"/>
    </row>
    <row r="43" spans="6:23" ht="15" x14ac:dyDescent="0.25">
      <c r="F43" s="3"/>
      <c r="G43" s="11">
        <v>0</v>
      </c>
      <c r="H43" s="21"/>
      <c r="I43" s="21"/>
      <c r="J43" s="21"/>
      <c r="K43" s="21"/>
      <c r="L43" s="21"/>
      <c r="M43" s="21"/>
      <c r="N43" s="21"/>
      <c r="O43" s="21"/>
      <c r="P43" s="29"/>
      <c r="Q43" s="20">
        <f t="shared" si="81"/>
        <v>2.1832323911911389</v>
      </c>
      <c r="R43" s="19">
        <f t="shared" si="81"/>
        <v>3.2800239014342507</v>
      </c>
      <c r="S43" s="19">
        <f t="shared" si="81"/>
        <v>3.9307645589770561</v>
      </c>
      <c r="T43" s="19">
        <f t="shared" si="81"/>
        <v>4.3713259855868687</v>
      </c>
      <c r="U43" s="19">
        <f t="shared" si="81"/>
        <v>4.7077638260594679</v>
      </c>
      <c r="V43" s="20">
        <f>(V14-V15)/($B$2)</f>
        <v>5</v>
      </c>
      <c r="W43" s="6"/>
    </row>
    <row r="44" spans="6:23" ht="15" x14ac:dyDescent="0.25">
      <c r="F44" s="3"/>
      <c r="G44" s="10"/>
      <c r="H44" s="20">
        <v>0</v>
      </c>
      <c r="I44" s="20">
        <f>H44+$B$2</f>
        <v>0.2</v>
      </c>
      <c r="J44" s="20">
        <f t="shared" ref="J44:V44" si="93">I44+$B$2</f>
        <v>0.4</v>
      </c>
      <c r="K44" s="20">
        <f t="shared" si="93"/>
        <v>0.60000000000000009</v>
      </c>
      <c r="L44" s="20">
        <f t="shared" si="93"/>
        <v>0.8</v>
      </c>
      <c r="M44" s="20">
        <f t="shared" si="93"/>
        <v>1</v>
      </c>
      <c r="N44" s="20">
        <f t="shared" si="93"/>
        <v>1.2</v>
      </c>
      <c r="O44" s="20">
        <f t="shared" si="93"/>
        <v>1.4</v>
      </c>
      <c r="P44" s="20">
        <f t="shared" si="93"/>
        <v>1.5999999999999999</v>
      </c>
      <c r="Q44" s="20">
        <f t="shared" si="93"/>
        <v>1.7999999999999998</v>
      </c>
      <c r="R44" s="20">
        <f t="shared" si="93"/>
        <v>1.9999999999999998</v>
      </c>
      <c r="S44" s="20">
        <f t="shared" si="93"/>
        <v>2.1999999999999997</v>
      </c>
      <c r="T44" s="20">
        <f t="shared" si="93"/>
        <v>2.4</v>
      </c>
      <c r="U44" s="20">
        <f t="shared" si="93"/>
        <v>2.6</v>
      </c>
      <c r="V44" s="20">
        <f t="shared" si="93"/>
        <v>2.8000000000000003</v>
      </c>
      <c r="W44" s="6"/>
    </row>
    <row r="45" spans="6:23" x14ac:dyDescent="0.3">
      <c r="F45" s="3"/>
      <c r="G45" s="25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</row>
    <row r="46" spans="6:23" x14ac:dyDescent="0.3">
      <c r="F46" s="3" t="s">
        <v>11</v>
      </c>
      <c r="G46" s="10"/>
      <c r="H46" s="31">
        <v>1</v>
      </c>
      <c r="I46" s="31">
        <v>2</v>
      </c>
      <c r="J46" s="31">
        <v>3</v>
      </c>
      <c r="K46" s="31">
        <v>4</v>
      </c>
      <c r="L46" s="31">
        <v>5</v>
      </c>
      <c r="M46" s="31">
        <v>6</v>
      </c>
      <c r="N46" s="31">
        <v>7</v>
      </c>
      <c r="O46" s="31">
        <v>8</v>
      </c>
      <c r="P46" s="31">
        <v>9</v>
      </c>
      <c r="Q46" s="31">
        <v>10</v>
      </c>
      <c r="R46" s="31">
        <v>11</v>
      </c>
      <c r="S46" s="31">
        <v>12</v>
      </c>
      <c r="T46" s="31">
        <v>13</v>
      </c>
      <c r="U46" s="31">
        <v>14</v>
      </c>
      <c r="V46" s="31">
        <v>15</v>
      </c>
    </row>
    <row r="47" spans="6:23" x14ac:dyDescent="0.3">
      <c r="F47" s="3"/>
      <c r="G47" s="11">
        <f t="shared" ref="G47:G55" si="94">G48+B$2</f>
        <v>1.9999999999999998</v>
      </c>
      <c r="H47" s="19">
        <f>(H5-I5)/$B$2</f>
        <v>0</v>
      </c>
      <c r="I47" s="19">
        <f>(I5-K5)/$B$2</f>
        <v>0</v>
      </c>
      <c r="J47" s="19">
        <f t="shared" ref="J47:T47" si="95">(J5-L5)/$B$2</f>
        <v>0</v>
      </c>
      <c r="K47" s="19">
        <f t="shared" si="95"/>
        <v>0</v>
      </c>
      <c r="L47" s="19">
        <f t="shared" si="95"/>
        <v>0</v>
      </c>
      <c r="M47" s="19">
        <f t="shared" si="95"/>
        <v>0</v>
      </c>
      <c r="N47" s="19">
        <f t="shared" si="95"/>
        <v>0</v>
      </c>
      <c r="O47" s="19">
        <f t="shared" si="95"/>
        <v>0</v>
      </c>
      <c r="P47" s="19">
        <f t="shared" si="95"/>
        <v>0</v>
      </c>
      <c r="Q47" s="19">
        <f t="shared" si="95"/>
        <v>0</v>
      </c>
      <c r="R47" s="19">
        <f t="shared" si="95"/>
        <v>0</v>
      </c>
      <c r="S47" s="19">
        <f t="shared" si="95"/>
        <v>0</v>
      </c>
      <c r="T47" s="19">
        <f t="shared" si="95"/>
        <v>0</v>
      </c>
      <c r="U47" s="19">
        <f>(U5-V5)/$B$2</f>
        <v>0</v>
      </c>
      <c r="V47" s="19">
        <f>(V5-U5)/$B$2</f>
        <v>0</v>
      </c>
    </row>
    <row r="48" spans="6:23" x14ac:dyDescent="0.3">
      <c r="F48" s="3"/>
      <c r="G48" s="11">
        <f t="shared" si="94"/>
        <v>1.7999999999999998</v>
      </c>
      <c r="H48" s="19">
        <f t="shared" ref="H48:K52" si="96">(H6-I6)/$B$2</f>
        <v>-0.1417232680594438</v>
      </c>
      <c r="I48" s="20">
        <f>(H6-J6)/(2*$B$2)</f>
        <v>-0.16217042668804194</v>
      </c>
      <c r="J48" s="20">
        <f t="shared" ref="J48:U48" si="97">(I6-K6)/(2*$B$2)</f>
        <v>-0.22432093711926449</v>
      </c>
      <c r="K48" s="20">
        <f t="shared" si="97"/>
        <v>-0.32587259928663403</v>
      </c>
      <c r="L48" s="20">
        <f t="shared" si="97"/>
        <v>-0.44703491475098112</v>
      </c>
      <c r="M48" s="20">
        <f t="shared" si="97"/>
        <v>-0.53768385922745132</v>
      </c>
      <c r="N48" s="20">
        <f t="shared" si="97"/>
        <v>-0.56315539300094031</v>
      </c>
      <c r="O48" s="20">
        <f t="shared" si="97"/>
        <v>-0.53474862620350727</v>
      </c>
      <c r="P48" s="20">
        <f t="shared" si="97"/>
        <v>-0.47714327926213329</v>
      </c>
      <c r="Q48" s="20">
        <f t="shared" si="97"/>
        <v>-0.41059671202443582</v>
      </c>
      <c r="R48" s="20">
        <f t="shared" si="97"/>
        <v>-0.34775523586356272</v>
      </c>
      <c r="S48" s="20">
        <f t="shared" si="97"/>
        <v>-0.29543733712598996</v>
      </c>
      <c r="T48" s="20">
        <f t="shared" si="97"/>
        <v>-0.2569006614193059</v>
      </c>
      <c r="U48" s="20">
        <f t="shared" si="97"/>
        <v>-0.23349043944393966</v>
      </c>
      <c r="V48" s="20">
        <f>(U6-V6)/($B$2)</f>
        <v>-0.22565588910818057</v>
      </c>
    </row>
    <row r="49" spans="6:22" x14ac:dyDescent="0.3">
      <c r="F49" s="3"/>
      <c r="G49" s="11">
        <f t="shared" si="94"/>
        <v>1.5999999999999999</v>
      </c>
      <c r="H49" s="19">
        <f t="shared" si="96"/>
        <v>-0.24255221886168243</v>
      </c>
      <c r="I49" s="20">
        <f t="shared" ref="I49:U49" si="98">(H7-J7)/(2*$B$2)</f>
        <v>-0.28263750157345724</v>
      </c>
      <c r="J49" s="20">
        <f t="shared" si="98"/>
        <v>-0.40924072250239307</v>
      </c>
      <c r="K49" s="20">
        <f t="shared" si="98"/>
        <v>-0.63213454527629498</v>
      </c>
      <c r="L49" s="20">
        <f t="shared" si="98"/>
        <v>-0.92458320048982801</v>
      </c>
      <c r="M49" s="20">
        <f t="shared" si="98"/>
        <v>-1.1405451291578772</v>
      </c>
      <c r="N49" s="20">
        <f t="shared" si="98"/>
        <v>-1.180189086572816</v>
      </c>
      <c r="O49" s="20">
        <f t="shared" si="98"/>
        <v>-1.0986958325509599</v>
      </c>
      <c r="P49" s="20">
        <f t="shared" si="98"/>
        <v>-0.96322777882057231</v>
      </c>
      <c r="Q49" s="20">
        <f t="shared" si="98"/>
        <v>-0.81748833297204948</v>
      </c>
      <c r="R49" s="20">
        <f t="shared" si="98"/>
        <v>-0.68498689430384729</v>
      </c>
      <c r="S49" s="20">
        <f t="shared" si="98"/>
        <v>-0.57709345122109124</v>
      </c>
      <c r="T49" s="20">
        <f t="shared" si="98"/>
        <v>-0.49867486910728065</v>
      </c>
      <c r="U49" s="20">
        <f t="shared" si="98"/>
        <v>-0.45140520724826994</v>
      </c>
      <c r="V49" s="20">
        <f t="shared" ref="V49:V57" si="99">(U7-V7)/($B$2)</f>
        <v>-0.43564267754484298</v>
      </c>
    </row>
    <row r="50" spans="6:22" x14ac:dyDescent="0.3">
      <c r="F50" s="3"/>
      <c r="G50" s="11">
        <f t="shared" si="94"/>
        <v>1.4</v>
      </c>
      <c r="H50" s="19">
        <f t="shared" si="96"/>
        <v>-0.26321060424035814</v>
      </c>
      <c r="I50" s="20">
        <f t="shared" ref="I50:U50" si="100">(H8-J8)/(2*$B$2)</f>
        <v>-0.31658663824171152</v>
      </c>
      <c r="J50" s="20">
        <f t="shared" si="100"/>
        <v>-0.49786990604056669</v>
      </c>
      <c r="K50" s="20">
        <f t="shared" si="100"/>
        <v>-0.86884165882633146</v>
      </c>
      <c r="L50" s="20">
        <f t="shared" si="100"/>
        <v>-1.4786182127741565</v>
      </c>
      <c r="M50" s="20">
        <f t="shared" si="100"/>
        <v>-1.9197243703414157</v>
      </c>
      <c r="N50" s="20">
        <f t="shared" si="100"/>
        <v>-1.9183599915814797</v>
      </c>
      <c r="O50" s="20">
        <f t="shared" si="100"/>
        <v>-1.7166178386069397</v>
      </c>
      <c r="P50" s="20">
        <f t="shared" si="100"/>
        <v>-1.4595836704971488</v>
      </c>
      <c r="Q50" s="20">
        <f t="shared" si="100"/>
        <v>-1.2111419467393336</v>
      </c>
      <c r="R50" s="20">
        <f t="shared" si="100"/>
        <v>-0.99761055715868796</v>
      </c>
      <c r="S50" s="20">
        <f t="shared" si="100"/>
        <v>-0.82927470434725148</v>
      </c>
      <c r="T50" s="20">
        <f t="shared" si="100"/>
        <v>-0.70930015654046219</v>
      </c>
      <c r="U50" s="20">
        <f t="shared" si="100"/>
        <v>-0.63781284289701645</v>
      </c>
      <c r="V50" s="20">
        <f t="shared" si="99"/>
        <v>-0.61410440657463816</v>
      </c>
    </row>
    <row r="51" spans="6:22" x14ac:dyDescent="0.3">
      <c r="F51" s="3"/>
      <c r="G51" s="11">
        <f t="shared" si="94"/>
        <v>1.2</v>
      </c>
      <c r="H51" s="19">
        <f t="shared" si="96"/>
        <v>-0.17711692161632264</v>
      </c>
      <c r="I51" s="20">
        <f t="shared" ref="I51:U52" si="101">(H9-J9)/(2*$B$2)</f>
        <v>-0.22262854111246733</v>
      </c>
      <c r="J51" s="20">
        <f t="shared" si="101"/>
        <v>-0.39681060459183515</v>
      </c>
      <c r="K51" s="20">
        <f t="shared" si="101"/>
        <v>-0.86674397121430435</v>
      </c>
      <c r="L51" s="20">
        <f t="shared" si="101"/>
        <v>-2.201323621439053</v>
      </c>
      <c r="M51" s="20">
        <f t="shared" si="101"/>
        <v>-3.1413741478521482</v>
      </c>
      <c r="N51" s="20">
        <f t="shared" si="101"/>
        <v>-2.8569086708047475</v>
      </c>
      <c r="O51" s="20">
        <f t="shared" si="101"/>
        <v>-2.3898318597981758</v>
      </c>
      <c r="P51" s="20">
        <f t="shared" si="101"/>
        <v>-1.9473471178217494</v>
      </c>
      <c r="Q51" s="20">
        <f t="shared" si="101"/>
        <v>-1.5698852263294372</v>
      </c>
      <c r="R51" s="20">
        <f t="shared" si="101"/>
        <v>-1.265038683244315</v>
      </c>
      <c r="S51" s="20">
        <f t="shared" si="101"/>
        <v>-1.0330946524687779</v>
      </c>
      <c r="T51" s="20">
        <f t="shared" si="101"/>
        <v>-0.87143820981030462</v>
      </c>
      <c r="U51" s="20">
        <f t="shared" si="101"/>
        <v>-0.77644160122468886</v>
      </c>
      <c r="V51" s="20">
        <f t="shared" si="99"/>
        <v>-0.74514926295966788</v>
      </c>
    </row>
    <row r="52" spans="6:22" x14ac:dyDescent="0.3">
      <c r="F52" s="3"/>
      <c r="G52" s="11">
        <f t="shared" si="94"/>
        <v>1</v>
      </c>
      <c r="H52" s="19">
        <f t="shared" si="96"/>
        <v>0</v>
      </c>
      <c r="I52" s="19">
        <f t="shared" si="96"/>
        <v>0</v>
      </c>
      <c r="J52" s="19">
        <f t="shared" si="96"/>
        <v>0</v>
      </c>
      <c r="K52" s="19">
        <f t="shared" si="96"/>
        <v>0</v>
      </c>
      <c r="L52" s="19">
        <f>(L10-M10)/(2*$B$2)</f>
        <v>-3.3185581539156059</v>
      </c>
      <c r="M52" s="20">
        <f t="shared" si="101"/>
        <v>-5.587539928823376</v>
      </c>
      <c r="N52" s="20">
        <f t="shared" ref="N52:U52" si="102">(M10-O10)/(2*$B$2)</f>
        <v>-3.9780686839871882</v>
      </c>
      <c r="O52" s="20">
        <f t="shared" si="102"/>
        <v>-3.0384538119592697</v>
      </c>
      <c r="P52" s="20">
        <f t="shared" si="102"/>
        <v>-2.3700877146622288</v>
      </c>
      <c r="Q52" s="20">
        <f t="shared" si="102"/>
        <v>-1.8560131575123495</v>
      </c>
      <c r="R52" s="20">
        <f t="shared" si="102"/>
        <v>-1.4595642970203637</v>
      </c>
      <c r="S52" s="20">
        <f t="shared" si="102"/>
        <v>-1.1666270124732425</v>
      </c>
      <c r="T52" s="20">
        <f t="shared" si="102"/>
        <v>-0.9669164290072807</v>
      </c>
      <c r="U52" s="20">
        <f t="shared" si="102"/>
        <v>-0.85136608923176205</v>
      </c>
      <c r="V52" s="20">
        <f t="shared" si="99"/>
        <v>-0.81360944281466452</v>
      </c>
    </row>
    <row r="53" spans="6:22" x14ac:dyDescent="0.3">
      <c r="F53" s="3"/>
      <c r="G53" s="11">
        <f t="shared" si="94"/>
        <v>0.8</v>
      </c>
      <c r="H53" s="21"/>
      <c r="I53" s="21"/>
      <c r="J53" s="21"/>
      <c r="K53" s="21"/>
      <c r="L53" s="29"/>
      <c r="M53" s="20">
        <f>(M11-N11)/($B$2)</f>
        <v>-5.0084561265923666</v>
      </c>
      <c r="N53" s="20">
        <f t="shared" ref="N53:U53" si="103">(M11-O11)/(2*$B$2)</f>
        <v>-4.4293723243613581</v>
      </c>
      <c r="O53" s="20">
        <f t="shared" si="103"/>
        <v>-3.4158269893894877</v>
      </c>
      <c r="P53" s="20">
        <f t="shared" si="103"/>
        <v>-2.6385367713555508</v>
      </c>
      <c r="Q53" s="20">
        <f t="shared" si="103"/>
        <v>-2.0245153920373649</v>
      </c>
      <c r="R53" s="20">
        <f t="shared" si="103"/>
        <v>-1.5505783348515467</v>
      </c>
      <c r="S53" s="20">
        <f t="shared" si="103"/>
        <v>-1.2069326713965567</v>
      </c>
      <c r="T53" s="20">
        <f t="shared" si="103"/>
        <v>-0.97823440451380694</v>
      </c>
      <c r="U53" s="20">
        <f t="shared" si="103"/>
        <v>-0.84849688388040745</v>
      </c>
      <c r="V53" s="20">
        <f t="shared" si="99"/>
        <v>-0.80655632983547498</v>
      </c>
    </row>
    <row r="54" spans="6:22" x14ac:dyDescent="0.3">
      <c r="F54" s="3"/>
      <c r="G54" s="11">
        <f t="shared" si="94"/>
        <v>0.60000000000000009</v>
      </c>
      <c r="H54" s="21"/>
      <c r="I54" s="21"/>
      <c r="J54" s="21"/>
      <c r="K54" s="21"/>
      <c r="L54" s="21"/>
      <c r="M54" s="29"/>
      <c r="N54" s="20">
        <f>(N12-O12)/($B$2)</f>
        <v>-3.9931586871215652</v>
      </c>
      <c r="O54" s="20">
        <f t="shared" ref="O54:U54" si="104">(N12-P12)/(2*$B$2)</f>
        <v>-3.5569450498817723</v>
      </c>
      <c r="P54" s="20">
        <f t="shared" si="104"/>
        <v>-2.7437169893331226</v>
      </c>
      <c r="Q54" s="20">
        <f t="shared" si="104"/>
        <v>-2.0529333044300158</v>
      </c>
      <c r="R54" s="20">
        <f t="shared" si="104"/>
        <v>-1.5113009789518983</v>
      </c>
      <c r="S54" s="20">
        <f t="shared" si="104"/>
        <v>-1.1322909337476283</v>
      </c>
      <c r="T54" s="20">
        <f t="shared" si="104"/>
        <v>-0.89059163377099071</v>
      </c>
      <c r="U54" s="20">
        <f t="shared" si="104"/>
        <v>-0.7578307119405836</v>
      </c>
      <c r="V54" s="20">
        <f t="shared" si="99"/>
        <v>-0.71562210876641164</v>
      </c>
    </row>
    <row r="55" spans="6:22" x14ac:dyDescent="0.3">
      <c r="F55" s="3"/>
      <c r="G55" s="11">
        <f t="shared" si="94"/>
        <v>0.4</v>
      </c>
      <c r="H55" s="21"/>
      <c r="I55" s="21"/>
      <c r="J55" s="21"/>
      <c r="K55" s="21"/>
      <c r="L55" s="21"/>
      <c r="M55" s="21"/>
      <c r="N55" s="29"/>
      <c r="O55" s="20">
        <f>(O13-P13)/($B$2)</f>
        <v>-3.1416989407734621</v>
      </c>
      <c r="P55" s="22">
        <f t="shared" ref="P55:U55" si="105">(O13-Q13)/(2*$B$2)</f>
        <v>-2.7264528316651524</v>
      </c>
      <c r="Q55" s="20">
        <f t="shared" si="105"/>
        <v>-1.9321998573976731</v>
      </c>
      <c r="R55" s="20">
        <f t="shared" si="105"/>
        <v>-1.3094013427784001</v>
      </c>
      <c r="S55" s="20">
        <f t="shared" si="105"/>
        <v>-0.92033845087107213</v>
      </c>
      <c r="T55" s="20">
        <f t="shared" si="105"/>
        <v>-0.69401048488194839</v>
      </c>
      <c r="U55" s="20">
        <f t="shared" si="105"/>
        <v>-0.5766122213445235</v>
      </c>
      <c r="V55" s="20">
        <f t="shared" si="99"/>
        <v>-0.54027068134899769</v>
      </c>
    </row>
    <row r="56" spans="6:22" x14ac:dyDescent="0.3">
      <c r="F56" s="3"/>
      <c r="G56" s="11">
        <f>G57+B$2</f>
        <v>0.2</v>
      </c>
      <c r="H56" s="21"/>
      <c r="I56" s="21"/>
      <c r="J56" s="21"/>
      <c r="K56" s="21"/>
      <c r="L56" s="21"/>
      <c r="M56" s="21"/>
      <c r="N56" s="21"/>
      <c r="O56" s="29"/>
      <c r="P56" s="20">
        <f>(P14-Q14)/($B$2)</f>
        <v>-2.1832323911911389</v>
      </c>
      <c r="Q56" s="32">
        <f t="shared" ref="Q56:U56" si="106">(P14-R14)/(2*$B$2)</f>
        <v>-1.6400119507171254</v>
      </c>
      <c r="R56" s="20">
        <f t="shared" si="106"/>
        <v>-0.87376608389295862</v>
      </c>
      <c r="S56" s="20">
        <f t="shared" si="106"/>
        <v>-0.5456510420763091</v>
      </c>
      <c r="T56" s="20">
        <f t="shared" si="106"/>
        <v>-0.38849963354120581</v>
      </c>
      <c r="U56" s="20">
        <f t="shared" si="106"/>
        <v>-0.31433700720656543</v>
      </c>
      <c r="V56" s="20">
        <f t="shared" si="99"/>
        <v>-0.29223617394053214</v>
      </c>
    </row>
    <row r="57" spans="6:22" x14ac:dyDescent="0.3">
      <c r="F57" s="3"/>
      <c r="G57" s="11">
        <v>0</v>
      </c>
      <c r="H57" s="21"/>
      <c r="I57" s="21"/>
      <c r="J57" s="21"/>
      <c r="K57" s="21"/>
      <c r="L57" s="21"/>
      <c r="M57" s="21"/>
      <c r="N57" s="21"/>
      <c r="O57" s="21"/>
      <c r="P57" s="29"/>
      <c r="Q57" s="20">
        <f>(Q15-R15)/($B$2)</f>
        <v>0</v>
      </c>
      <c r="R57" s="19">
        <f t="shared" ref="R57:U57" si="107">(R15-S15)/($B$2)</f>
        <v>0</v>
      </c>
      <c r="S57" s="20">
        <f t="shared" si="107"/>
        <v>0</v>
      </c>
      <c r="T57" s="20">
        <f t="shared" si="107"/>
        <v>0</v>
      </c>
      <c r="U57" s="20">
        <f t="shared" si="107"/>
        <v>0</v>
      </c>
      <c r="V57" s="20">
        <f t="shared" si="99"/>
        <v>0</v>
      </c>
    </row>
    <row r="58" spans="6:22" x14ac:dyDescent="0.3">
      <c r="F58" s="3"/>
      <c r="G58" s="10"/>
      <c r="H58" s="11">
        <v>0</v>
      </c>
      <c r="I58" s="11">
        <f>H58+$B$2</f>
        <v>0.2</v>
      </c>
      <c r="J58" s="11">
        <f t="shared" ref="J58:V58" si="108">I58+$B$2</f>
        <v>0.4</v>
      </c>
      <c r="K58" s="11">
        <f t="shared" si="108"/>
        <v>0.60000000000000009</v>
      </c>
      <c r="L58" s="11">
        <f t="shared" si="108"/>
        <v>0.8</v>
      </c>
      <c r="M58" s="11">
        <f t="shared" si="108"/>
        <v>1</v>
      </c>
      <c r="N58" s="11">
        <f t="shared" si="108"/>
        <v>1.2</v>
      </c>
      <c r="O58" s="17">
        <f t="shared" si="108"/>
        <v>1.4</v>
      </c>
      <c r="P58" s="11">
        <f t="shared" si="108"/>
        <v>1.5999999999999999</v>
      </c>
      <c r="Q58" s="11">
        <f t="shared" si="108"/>
        <v>1.7999999999999998</v>
      </c>
      <c r="R58" s="11">
        <f t="shared" si="108"/>
        <v>1.9999999999999998</v>
      </c>
      <c r="S58" s="11">
        <f t="shared" si="108"/>
        <v>2.1999999999999997</v>
      </c>
      <c r="T58" s="11">
        <f t="shared" si="108"/>
        <v>2.4</v>
      </c>
      <c r="U58" s="11">
        <f t="shared" si="108"/>
        <v>2.6</v>
      </c>
      <c r="V58" s="11">
        <f t="shared" si="108"/>
        <v>2.8000000000000003</v>
      </c>
    </row>
    <row r="59" spans="6:22" x14ac:dyDescent="0.3">
      <c r="F59" s="3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</row>
    <row r="60" spans="6:22" x14ac:dyDescent="0.3">
      <c r="F60" s="3"/>
      <c r="G60" s="10"/>
      <c r="H60" s="11">
        <v>1</v>
      </c>
      <c r="I60" s="11">
        <v>2</v>
      </c>
      <c r="J60" s="11">
        <v>3</v>
      </c>
      <c r="K60" s="11">
        <v>4</v>
      </c>
      <c r="L60" s="11">
        <v>5</v>
      </c>
      <c r="M60" s="11">
        <v>6</v>
      </c>
      <c r="N60" s="11">
        <v>7</v>
      </c>
      <c r="O60" s="11">
        <v>8</v>
      </c>
      <c r="P60" s="11">
        <v>9</v>
      </c>
      <c r="Q60" s="11">
        <v>10</v>
      </c>
      <c r="R60" s="11">
        <v>11</v>
      </c>
      <c r="S60" s="11">
        <v>12</v>
      </c>
      <c r="T60" s="11">
        <v>13</v>
      </c>
      <c r="U60" s="11">
        <v>14</v>
      </c>
      <c r="V60" s="11">
        <v>15</v>
      </c>
    </row>
    <row r="61" spans="6:22" x14ac:dyDescent="0.3">
      <c r="F61" s="3"/>
      <c r="G61" s="11">
        <f t="shared" ref="G61:G69" si="109">G62+B$2</f>
        <v>1.9999999999999998</v>
      </c>
      <c r="H61" s="12">
        <f>(H33^2+H47^2)^0.5</f>
        <v>10</v>
      </c>
      <c r="I61" s="12">
        <f t="shared" ref="I61:V61" si="110">(I33^2+I47^2)^0.5</f>
        <v>9.8582767319405562</v>
      </c>
      <c r="J61" s="12">
        <f t="shared" si="110"/>
        <v>9.6756591466239161</v>
      </c>
      <c r="K61" s="12">
        <f t="shared" si="110"/>
        <v>9.4096348577020272</v>
      </c>
      <c r="L61" s="12">
        <f t="shared" si="110"/>
        <v>9.0239139480506481</v>
      </c>
      <c r="M61" s="12">
        <f t="shared" si="110"/>
        <v>8.515565028200065</v>
      </c>
      <c r="N61" s="12">
        <f t="shared" si="110"/>
        <v>7.9485462295957454</v>
      </c>
      <c r="O61" s="12">
        <f t="shared" si="110"/>
        <v>7.3892542421981844</v>
      </c>
      <c r="P61" s="12">
        <f t="shared" si="110"/>
        <v>6.8790489771887309</v>
      </c>
      <c r="Q61" s="12">
        <f t="shared" si="110"/>
        <v>6.4349676836739178</v>
      </c>
      <c r="R61" s="12">
        <f t="shared" si="110"/>
        <v>6.0578555531398592</v>
      </c>
      <c r="S61" s="12">
        <f t="shared" si="110"/>
        <v>5.7394572119467924</v>
      </c>
      <c r="T61" s="12">
        <f t="shared" si="110"/>
        <v>5.4669808788878793</v>
      </c>
      <c r="U61" s="12">
        <f t="shared" si="110"/>
        <v>5.2256558891081806</v>
      </c>
      <c r="V61" s="12">
        <f t="shared" si="110"/>
        <v>5</v>
      </c>
    </row>
    <row r="62" spans="6:22" x14ac:dyDescent="0.3">
      <c r="F62" s="3"/>
      <c r="G62" s="11">
        <f t="shared" si="109"/>
        <v>1.7999999999999998</v>
      </c>
      <c r="H62" s="12">
        <f t="shared" ref="H62:V62" si="111">(H34^2+H48^2)^0.5</f>
        <v>10.001004223812199</v>
      </c>
      <c r="I62" s="12">
        <f t="shared" si="111"/>
        <v>9.8800549063957153</v>
      </c>
      <c r="J62" s="12">
        <f t="shared" si="111"/>
        <v>9.7199513274839298</v>
      </c>
      <c r="K62" s="12">
        <f t="shared" si="111"/>
        <v>9.4750886233990226</v>
      </c>
      <c r="L62" s="12">
        <f t="shared" si="111"/>
        <v>9.0962193891588292</v>
      </c>
      <c r="M62" s="12">
        <f t="shared" si="111"/>
        <v>8.5618000086646529</v>
      </c>
      <c r="N62" s="12">
        <f t="shared" si="111"/>
        <v>7.964617327311176</v>
      </c>
      <c r="O62" s="12">
        <f t="shared" si="111"/>
        <v>7.3840992987640037</v>
      </c>
      <c r="P62" s="12">
        <f t="shared" si="111"/>
        <v>6.8625945236426471</v>
      </c>
      <c r="Q62" s="12">
        <f t="shared" si="111"/>
        <v>6.4146376021928777</v>
      </c>
      <c r="R62" s="12">
        <f t="shared" si="111"/>
        <v>6.038520495886174</v>
      </c>
      <c r="S62" s="12">
        <f t="shared" si="111"/>
        <v>5.7241254454170649</v>
      </c>
      <c r="T62" s="12">
        <f t="shared" si="111"/>
        <v>5.4574551471772281</v>
      </c>
      <c r="U62" s="12">
        <f t="shared" si="111"/>
        <v>5.2230429166014467</v>
      </c>
      <c r="V62" s="12">
        <f t="shared" si="111"/>
        <v>5.0050894677607118</v>
      </c>
    </row>
    <row r="63" spans="6:22" x14ac:dyDescent="0.3">
      <c r="F63" s="3"/>
      <c r="G63" s="11">
        <f t="shared" si="109"/>
        <v>1.5999999999999999</v>
      </c>
      <c r="H63" s="12">
        <f t="shared" ref="H63:V63" si="112">(H35^2+H49^2)^0.5</f>
        <v>10.002941146426622</v>
      </c>
      <c r="I63" s="12">
        <f t="shared" si="112"/>
        <v>9.9432741282084542</v>
      </c>
      <c r="J63" s="12">
        <f t="shared" si="112"/>
        <v>9.8540853509735484</v>
      </c>
      <c r="K63" s="12">
        <f t="shared" si="112"/>
        <v>9.6863560181451493</v>
      </c>
      <c r="L63" s="12">
        <f t="shared" si="112"/>
        <v>9.3484487958751021</v>
      </c>
      <c r="M63" s="12">
        <f t="shared" si="112"/>
        <v>8.7091297820651743</v>
      </c>
      <c r="N63" s="12">
        <f t="shared" si="112"/>
        <v>8.008017371336523</v>
      </c>
      <c r="O63" s="12">
        <f t="shared" si="112"/>
        <v>7.3613722314916554</v>
      </c>
      <c r="P63" s="12">
        <f t="shared" si="112"/>
        <v>6.8071986090865275</v>
      </c>
      <c r="Q63" s="12">
        <f t="shared" si="112"/>
        <v>6.3493256270521403</v>
      </c>
      <c r="R63" s="12">
        <f t="shared" si="112"/>
        <v>5.9775369933964564</v>
      </c>
      <c r="S63" s="12">
        <f t="shared" si="112"/>
        <v>5.6760370567002871</v>
      </c>
      <c r="T63" s="12">
        <f t="shared" si="112"/>
        <v>5.4272808353303414</v>
      </c>
      <c r="U63" s="12">
        <f t="shared" si="112"/>
        <v>5.2138020974279042</v>
      </c>
      <c r="V63" s="12">
        <f t="shared" si="112"/>
        <v>5.0189425721458942</v>
      </c>
    </row>
    <row r="64" spans="6:22" x14ac:dyDescent="0.3">
      <c r="F64" s="3"/>
      <c r="G64" s="11">
        <f t="shared" si="109"/>
        <v>1.4</v>
      </c>
      <c r="H64" s="12">
        <f t="shared" ref="H64:V64" si="113">(H36^2+H50^2)^0.5</f>
        <v>10.003463391355245</v>
      </c>
      <c r="I64" s="12">
        <f t="shared" si="113"/>
        <v>10.037711418271506</v>
      </c>
      <c r="J64" s="12">
        <f t="shared" si="113"/>
        <v>10.072321218462815</v>
      </c>
      <c r="K64" s="12">
        <f t="shared" si="113"/>
        <v>10.082652402993954</v>
      </c>
      <c r="L64" s="12">
        <f t="shared" si="113"/>
        <v>9.9360348143588855</v>
      </c>
      <c r="M64" s="12">
        <f t="shared" si="113"/>
        <v>8.9760965367009291</v>
      </c>
      <c r="N64" s="12">
        <f t="shared" si="113"/>
        <v>8.0563024281910156</v>
      </c>
      <c r="O64" s="12">
        <f t="shared" si="113"/>
        <v>7.2964931376884374</v>
      </c>
      <c r="P64" s="12">
        <f t="shared" si="113"/>
        <v>6.6944865903045949</v>
      </c>
      <c r="Q64" s="12">
        <f t="shared" si="113"/>
        <v>6.2264963541986802</v>
      </c>
      <c r="R64" s="12">
        <f t="shared" si="113"/>
        <v>5.8664829754418415</v>
      </c>
      <c r="S64" s="12">
        <f t="shared" si="113"/>
        <v>5.5893771270061272</v>
      </c>
      <c r="T64" s="12">
        <f t="shared" si="113"/>
        <v>5.3720684386222874</v>
      </c>
      <c r="U64" s="12">
        <f t="shared" si="113"/>
        <v>5.1940626422139236</v>
      </c>
      <c r="V64" s="12">
        <f t="shared" si="113"/>
        <v>5.0375712622427873</v>
      </c>
    </row>
    <row r="65" spans="6:22" x14ac:dyDescent="0.3">
      <c r="F65" s="3"/>
      <c r="G65" s="11">
        <f t="shared" si="109"/>
        <v>1.2</v>
      </c>
      <c r="H65" s="12">
        <f t="shared" ref="H65:V65" si="114">(H37^2+H51^2)^0.5</f>
        <v>10.001568397202652</v>
      </c>
      <c r="I65" s="12">
        <f t="shared" si="114"/>
        <v>10.134050989869134</v>
      </c>
      <c r="J65" s="12">
        <f t="shared" si="114"/>
        <v>10.324215152749575</v>
      </c>
      <c r="K65" s="12">
        <f t="shared" si="114"/>
        <v>10.664754489088825</v>
      </c>
      <c r="L65" s="12">
        <f t="shared" si="114"/>
        <v>11.399983854162077</v>
      </c>
      <c r="M65" s="12">
        <f t="shared" si="114"/>
        <v>9.3340324483563801</v>
      </c>
      <c r="N65" s="12">
        <f t="shared" si="114"/>
        <v>8.0421656561321271</v>
      </c>
      <c r="O65" s="12">
        <f t="shared" si="114"/>
        <v>7.1415587964030411</v>
      </c>
      <c r="P65" s="12">
        <f t="shared" si="114"/>
        <v>6.4945985651077072</v>
      </c>
      <c r="Q65" s="12">
        <f t="shared" si="114"/>
        <v>6.0273588193530543</v>
      </c>
      <c r="R65" s="12">
        <f t="shared" si="114"/>
        <v>5.6932306597087354</v>
      </c>
      <c r="S65" s="12">
        <f t="shared" si="114"/>
        <v>5.4560686322033556</v>
      </c>
      <c r="T65" s="12">
        <f t="shared" si="114"/>
        <v>5.2858813840158154</v>
      </c>
      <c r="U65" s="12">
        <f t="shared" si="114"/>
        <v>5.1585208447949276</v>
      </c>
      <c r="V65" s="12">
        <f t="shared" si="114"/>
        <v>5.0552198195616915</v>
      </c>
    </row>
    <row r="66" spans="6:22" x14ac:dyDescent="0.3">
      <c r="F66" s="3"/>
      <c r="G66" s="11">
        <f t="shared" si="109"/>
        <v>1</v>
      </c>
      <c r="H66" s="12">
        <f t="shared" ref="H66:V66" si="115">(H38^2+H52^2)^0.5</f>
        <v>10</v>
      </c>
      <c r="I66" s="12">
        <f t="shared" si="115"/>
        <v>10.177116921616323</v>
      </c>
      <c r="J66" s="12">
        <f t="shared" si="115"/>
        <v>10.445257082224934</v>
      </c>
      <c r="K66" s="12">
        <f t="shared" si="115"/>
        <v>10.970738130799992</v>
      </c>
      <c r="L66" s="12">
        <f t="shared" si="115"/>
        <v>12.622783314168201</v>
      </c>
      <c r="M66" s="12">
        <f t="shared" ref="M66:N66" si="116">(M38^2+M52^2)^0.5</f>
        <v>9.5029388569063453</v>
      </c>
      <c r="N66" s="12">
        <f t="shared" si="116"/>
        <v>7.8147989666228046</v>
      </c>
      <c r="O66" s="12">
        <f t="shared" si="115"/>
        <v>6.8275909542710398</v>
      </c>
      <c r="P66" s="12">
        <f t="shared" ref="P66:U71" si="117">(P38^2+P52^2)^0.5</f>
        <v>6.1735956764541253</v>
      </c>
      <c r="Q66" s="12">
        <f t="shared" si="117"/>
        <v>5.7318531868117004</v>
      </c>
      <c r="R66" s="12">
        <f t="shared" si="117"/>
        <v>5.4451560554987912</v>
      </c>
      <c r="S66" s="12">
        <f t="shared" si="117"/>
        <v>5.2682940353481849</v>
      </c>
      <c r="T66" s="12">
        <f t="shared" si="117"/>
        <v>5.1633973477740378</v>
      </c>
      <c r="U66" s="12">
        <f t="shared" si="117"/>
        <v>5.1022350258723277</v>
      </c>
      <c r="V66" s="12">
        <f t="shared" si="115"/>
        <v>5.0657635481176166</v>
      </c>
    </row>
    <row r="67" spans="6:22" x14ac:dyDescent="0.3">
      <c r="F67" s="3"/>
      <c r="G67" s="11">
        <f t="shared" si="109"/>
        <v>0.8</v>
      </c>
      <c r="H67" s="10"/>
      <c r="I67" s="10"/>
      <c r="J67" s="10"/>
      <c r="K67" s="10"/>
      <c r="L67" s="15"/>
      <c r="M67" s="13">
        <f t="shared" ref="M67" si="118">(M39^2+M53^2)^0.5</f>
        <v>8.3148028031745671</v>
      </c>
      <c r="N67" s="12">
        <f t="shared" ref="N67:O67" si="119">(N39^2+N53^2)^0.5</f>
        <v>7.1302132958288054</v>
      </c>
      <c r="O67" s="12">
        <f t="shared" si="119"/>
        <v>6.3054244475469439</v>
      </c>
      <c r="P67" s="12">
        <f t="shared" si="117"/>
        <v>5.7146418019434275</v>
      </c>
      <c r="Q67" s="12">
        <f t="shared" si="117"/>
        <v>5.3261861634478898</v>
      </c>
      <c r="R67" s="12">
        <f t="shared" si="117"/>
        <v>5.112917926351539</v>
      </c>
      <c r="S67" s="12">
        <f t="shared" si="117"/>
        <v>5.0218728147637881</v>
      </c>
      <c r="T67" s="12">
        <f t="shared" si="117"/>
        <v>5.0030328445921377</v>
      </c>
      <c r="U67" s="12">
        <f t="shared" si="117"/>
        <v>5.0231873020147244</v>
      </c>
      <c r="V67" s="12">
        <f t="shared" ref="V67" si="120">(V39^2+V53^2)^0.5</f>
        <v>5.0646355360674935</v>
      </c>
    </row>
    <row r="68" spans="6:22" x14ac:dyDescent="0.3">
      <c r="F68" s="3"/>
      <c r="G68" s="11">
        <f t="shared" si="109"/>
        <v>0.60000000000000009</v>
      </c>
      <c r="H68" s="10"/>
      <c r="I68" s="10"/>
      <c r="J68" s="10"/>
      <c r="K68" s="10"/>
      <c r="L68" s="10"/>
      <c r="M68" s="16"/>
      <c r="N68" s="13">
        <f t="shared" ref="N68:O68" si="121">(N40^2+N54^2)^0.5</f>
        <v>6.4054624401783071</v>
      </c>
      <c r="O68" s="12">
        <f t="shared" si="121"/>
        <v>5.6807743552879115</v>
      </c>
      <c r="P68" s="12">
        <f t="shared" si="117"/>
        <v>5.1423313890350819</v>
      </c>
      <c r="Q68" s="12">
        <f t="shared" si="117"/>
        <v>4.8023720852420597</v>
      </c>
      <c r="R68" s="12">
        <f t="shared" si="117"/>
        <v>4.6916031888036684</v>
      </c>
      <c r="S68" s="12">
        <f t="shared" si="117"/>
        <v>4.7204459872758839</v>
      </c>
      <c r="T68" s="12">
        <f t="shared" si="117"/>
        <v>4.8112605523403422</v>
      </c>
      <c r="U68" s="12">
        <f t="shared" si="117"/>
        <v>4.925505675275935</v>
      </c>
      <c r="V68" s="12">
        <f t="shared" ref="V68" si="122">(V40^2+V54^2)^0.5</f>
        <v>5.0509518907385456</v>
      </c>
    </row>
    <row r="69" spans="6:22" x14ac:dyDescent="0.3">
      <c r="F69" s="3"/>
      <c r="G69" s="11">
        <f t="shared" si="109"/>
        <v>0.4</v>
      </c>
      <c r="H69" s="10"/>
      <c r="I69" s="10"/>
      <c r="J69" s="10"/>
      <c r="K69" s="10"/>
      <c r="L69" s="10"/>
      <c r="M69" s="10"/>
      <c r="N69" s="16"/>
      <c r="O69" s="13">
        <f t="shared" ref="O69" si="123">(O41^2+O55^2)^0.5</f>
        <v>5.0809043028767542</v>
      </c>
      <c r="P69" s="12">
        <f t="shared" si="117"/>
        <v>4.48167414379642</v>
      </c>
      <c r="Q69" s="12">
        <f t="shared" si="117"/>
        <v>4.1287120307964065</v>
      </c>
      <c r="R69" s="12">
        <f t="shared" si="117"/>
        <v>4.1802357755106945</v>
      </c>
      <c r="S69" s="12">
        <f t="shared" si="117"/>
        <v>4.3839094616286554</v>
      </c>
      <c r="T69" s="12">
        <f t="shared" si="117"/>
        <v>4.6090563211925062</v>
      </c>
      <c r="U69" s="12">
        <f t="shared" si="117"/>
        <v>4.8229001536551177</v>
      </c>
      <c r="V69" s="12">
        <f t="shared" ref="V69" si="124">(V41^2+V55^2)^0.5</f>
        <v>5.0291045335253584</v>
      </c>
    </row>
    <row r="70" spans="6:22" x14ac:dyDescent="0.3">
      <c r="F70" s="3"/>
      <c r="G70" s="11">
        <f>G71+B$2</f>
        <v>0.2</v>
      </c>
      <c r="H70" s="10"/>
      <c r="I70" s="10"/>
      <c r="J70" s="10"/>
      <c r="K70" s="10"/>
      <c r="L70" s="10"/>
      <c r="M70" s="10"/>
      <c r="N70" s="10"/>
      <c r="O70" s="16"/>
      <c r="P70" s="13">
        <f t="shared" si="117"/>
        <v>3.8258039558246151</v>
      </c>
      <c r="Q70" s="12">
        <f t="shared" si="117"/>
        <v>3.1816951836701639</v>
      </c>
      <c r="R70" s="12">
        <f t="shared" si="117"/>
        <v>3.6103769557003882</v>
      </c>
      <c r="S70" s="12">
        <f t="shared" si="117"/>
        <v>4.0725733851082921</v>
      </c>
      <c r="T70" s="12">
        <f t="shared" si="117"/>
        <v>4.4404156793728538</v>
      </c>
      <c r="U70" s="12">
        <f t="shared" si="117"/>
        <v>4.7402982447980975</v>
      </c>
      <c r="V70" s="12">
        <f t="shared" ref="V70" si="125">(V42^2+V56^2)^0.5</f>
        <v>5.0085329170685702</v>
      </c>
    </row>
    <row r="71" spans="6:22" x14ac:dyDescent="0.3">
      <c r="F71" s="3"/>
      <c r="G71" s="11">
        <v>0</v>
      </c>
      <c r="H71" s="10"/>
      <c r="I71" s="10"/>
      <c r="J71" s="10"/>
      <c r="K71" s="10"/>
      <c r="L71" s="10"/>
      <c r="M71" s="10"/>
      <c r="N71" s="10"/>
      <c r="O71" s="10"/>
      <c r="P71" s="15"/>
      <c r="Q71" s="13">
        <f t="shared" si="117"/>
        <v>2.1832323911911389</v>
      </c>
      <c r="R71" s="12">
        <f t="shared" si="117"/>
        <v>3.2800239014342507</v>
      </c>
      <c r="S71" s="12">
        <f t="shared" si="117"/>
        <v>3.9307645589770561</v>
      </c>
      <c r="T71" s="12">
        <f t="shared" si="117"/>
        <v>4.3713259855868687</v>
      </c>
      <c r="U71" s="12">
        <f t="shared" si="117"/>
        <v>4.7077638260594679</v>
      </c>
      <c r="V71" s="12">
        <f t="shared" ref="V71" si="126">(V43^2+V57^2)^0.5</f>
        <v>5</v>
      </c>
    </row>
    <row r="72" spans="6:22" x14ac:dyDescent="0.3">
      <c r="F72" s="3"/>
      <c r="G72" s="10"/>
      <c r="H72" s="11">
        <v>0</v>
      </c>
      <c r="I72" s="11">
        <f>H72+$B$2</f>
        <v>0.2</v>
      </c>
      <c r="J72" s="11">
        <f t="shared" ref="J72:V72" si="127">I72+$B$2</f>
        <v>0.4</v>
      </c>
      <c r="K72" s="11">
        <f t="shared" si="127"/>
        <v>0.60000000000000009</v>
      </c>
      <c r="L72" s="11">
        <f t="shared" si="127"/>
        <v>0.8</v>
      </c>
      <c r="M72" s="11">
        <f t="shared" si="127"/>
        <v>1</v>
      </c>
      <c r="N72" s="11">
        <f t="shared" si="127"/>
        <v>1.2</v>
      </c>
      <c r="O72" s="11">
        <f t="shared" si="127"/>
        <v>1.4</v>
      </c>
      <c r="P72" s="11">
        <f t="shared" si="127"/>
        <v>1.5999999999999999</v>
      </c>
      <c r="Q72" s="11">
        <f t="shared" si="127"/>
        <v>1.7999999999999998</v>
      </c>
      <c r="R72" s="11">
        <f t="shared" si="127"/>
        <v>1.9999999999999998</v>
      </c>
      <c r="S72" s="11">
        <f t="shared" si="127"/>
        <v>2.1999999999999997</v>
      </c>
      <c r="T72" s="11">
        <f t="shared" si="127"/>
        <v>2.4</v>
      </c>
      <c r="U72" s="11">
        <f t="shared" si="127"/>
        <v>2.6</v>
      </c>
      <c r="V72" s="11">
        <f t="shared" si="127"/>
        <v>2.8000000000000003</v>
      </c>
    </row>
  </sheetData>
  <conditionalFormatting sqref="H19:V2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min"/>
        <cfvo type="max"/>
        <color theme="4" tint="0.39997558519241921"/>
        <color rgb="FFFFFF00"/>
      </colorScale>
    </cfRule>
  </conditionalFormatting>
  <conditionalFormatting sqref="H61:V71">
    <cfRule type="colorScale" priority="10">
      <colorScale>
        <cfvo type="min"/>
        <cfvo type="max"/>
        <color rgb="FFFCFCFF"/>
        <color rgb="FFF8696B"/>
      </colorScale>
    </cfRule>
    <cfRule type="colorScale" priority="8">
      <colorScale>
        <cfvo type="min"/>
        <cfvo type="max"/>
        <color theme="4"/>
        <color theme="4" tint="0.59999389629810485"/>
      </colorScale>
    </cfRule>
    <cfRule type="colorScale" priority="7">
      <colorScale>
        <cfvo type="min"/>
        <cfvo type="max"/>
        <color theme="4" tint="0.59999389629810485"/>
        <color theme="4"/>
      </colorScale>
    </cfRule>
    <cfRule type="colorScale" priority="6">
      <colorScale>
        <cfvo type="min"/>
        <cfvo type="max"/>
        <color theme="4" tint="0.79998168889431442"/>
        <color theme="4"/>
      </colorScale>
    </cfRule>
    <cfRule type="colorScale" priority="4">
      <colorScale>
        <cfvo type="min"/>
        <cfvo type="max"/>
        <color theme="9"/>
        <color rgb="FFEDAFD5"/>
      </colorScale>
    </cfRule>
    <cfRule type="colorScale" priority="3">
      <colorScale>
        <cfvo type="min"/>
        <cfvo type="max"/>
        <color rgb="FFBA6EA8"/>
        <color rgb="FFBAA7F5"/>
      </colorScale>
    </cfRule>
    <cfRule type="colorScale" priority="2">
      <colorScale>
        <cfvo type="min"/>
        <cfvo type="max"/>
        <color theme="5" tint="0.39997558519241921"/>
        <color rgb="FFBA6EA8"/>
      </colorScale>
    </cfRule>
    <cfRule type="colorScale" priority="1">
      <colorScale>
        <cfvo type="min"/>
        <cfvo type="max"/>
        <color rgb="FFBA6EA8"/>
        <color rgb="FFFFFF00"/>
      </colorScale>
    </cfRule>
  </conditionalFormatting>
  <conditionalFormatting sqref="L53">
    <cfRule type="colorScale" priority="9">
      <colorScale>
        <cfvo type="min"/>
        <cfvo type="max"/>
        <color theme="4"/>
        <color theme="4" tint="0.59999389629810485"/>
      </colorScale>
    </cfRule>
  </conditionalFormatting>
  <pageMargins left="0.7" right="0.7" top="0.75" bottom="0.75" header="0.3" footer="0.3"/>
  <pageSetup paperSize="9" orientation="portrait" r:id="rId1"/>
  <ignoredErrors>
    <ignoredError sqref="I47 AI8:AN8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Моргунова</dc:creator>
  <cp:lastModifiedBy>HP</cp:lastModifiedBy>
  <dcterms:created xsi:type="dcterms:W3CDTF">2021-05-16T19:11:29Z</dcterms:created>
  <dcterms:modified xsi:type="dcterms:W3CDTF">2021-05-21T07:26:17Z</dcterms:modified>
</cp:coreProperties>
</file>